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반전표" sheetId="1" state="visible" r:id="rId1"/>
    <sheet name="검산" sheetId="2" state="visible" r:id="rId2"/>
    <sheet name="원천데이터" sheetId="3" state="visible" r:id="rId3"/>
    <sheet name="자금일보값" sheetId="4" state="visible" r:id="rId4"/>
    <sheet name="결산전표_9월" sheetId="5" state="visible" r:id="rId5"/>
    <sheet name="계정과목표" sheetId="6" state="visible" r:id="rId6"/>
    <sheet name="거래처목록" sheetId="7" state="visible" r:id="rId7"/>
    <sheet name="정확성검증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&quot;-&quot;"/>
  </numFmts>
  <fonts count="4">
    <font>
      <name val="Calibri"/>
      <family val="2"/>
      <color theme="1"/>
      <sz val="11"/>
      <scheme val="minor"/>
    </font>
    <font>
      <b val="1"/>
    </font>
    <font>
      <color rgb="00555555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DDE3EA"/>
      </patternFill>
    </fill>
    <fill>
      <patternFill patternType="solid">
        <fgColor rgb="00FFF8D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9" fontId="0" fillId="4" borderId="0" pivotButton="0" quotePrefix="0" xfId="0"/>
    <xf numFmtId="0" fontId="0" fillId="4" borderId="0" pivotButton="0" quotePrefix="0" xfId="0"/>
    <xf numFmtId="49" fontId="0" fillId="3" borderId="0" pivotButton="0" quotePrefix="0" xfId="0"/>
    <xf numFmtId="164" fontId="0" fillId="4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4" customWidth="1" min="3" max="3"/>
    <col width="5" customWidth="1" min="4" max="4"/>
    <col width="6" customWidth="1" min="5" max="5"/>
    <col width="14" customWidth="1" min="6" max="6"/>
    <col width="14" customWidth="1" min="7" max="7"/>
    <col width="14" customWidth="1" min="8" max="8"/>
    <col width="10" customWidth="1" min="9" max="9"/>
    <col width="22" customWidth="1" min="10" max="10"/>
    <col width="30" customWidth="1" min="11" max="11"/>
    <col width="60" customWidth="1" min="12" max="12"/>
    <col width="55" customWidth="1" min="13" max="13"/>
  </cols>
  <sheetData>
    <row r="1">
      <c r="A1" s="1" t="inlineStr">
        <is>
          <t>연도</t>
        </is>
      </c>
      <c r="B1" s="1" t="inlineStr">
        <is>
          <t>월</t>
        </is>
      </c>
      <c r="C1" s="1" t="inlineStr">
        <is>
          <t>일</t>
        </is>
      </c>
      <c r="D1" s="1" t="inlineStr">
        <is>
          <t>구분</t>
        </is>
      </c>
      <c r="E1" s="1" t="inlineStr">
        <is>
          <t>Code</t>
        </is>
      </c>
      <c r="F1" s="1" t="inlineStr">
        <is>
          <t>계정과목</t>
        </is>
      </c>
      <c r="G1" s="1" t="inlineStr">
        <is>
          <t>차변</t>
        </is>
      </c>
      <c r="H1" s="1" t="inlineStr">
        <is>
          <t>대변</t>
        </is>
      </c>
      <c r="I1" s="1" t="inlineStr">
        <is>
          <t>거래처코드</t>
        </is>
      </c>
      <c r="J1" s="1" t="inlineStr">
        <is>
          <t>거래처</t>
        </is>
      </c>
      <c r="K1" s="1" t="inlineStr">
        <is>
          <t>적요</t>
        </is>
      </c>
      <c r="L1" s="7" t="inlineStr">
        <is>
          <t>확인필요</t>
        </is>
      </c>
      <c r="M1" s="5" t="inlineStr">
        <is>
          <t>근거(참고용·업로드 전 삭제)</t>
        </is>
      </c>
    </row>
    <row r="2">
      <c r="A2" s="2">
        <f>VALUE(LEFT(원천데이터!A4,4))</f>
        <v/>
      </c>
      <c r="B2" s="2">
        <f>VALUE(MID(원천데이터!A4,6,2))</f>
        <v/>
      </c>
      <c r="C2" s="2">
        <f>VALUE(MID(원천데이터!A4,9,2))</f>
        <v/>
      </c>
      <c r="D2" s="2" t="n">
        <v>3</v>
      </c>
      <c r="E2" s="2" t="n">
        <v>262</v>
      </c>
      <c r="F2" s="2">
        <f>VLOOKUP(E2,계정과목표!$A$2:$B$11,2,FALSE)</f>
        <v/>
      </c>
      <c r="G2" s="3">
        <f>원천데이터!F4</f>
        <v/>
      </c>
      <c r="H2" s="3" t="n"/>
      <c r="I2" s="8" t="n"/>
      <c r="J2" s="9">
        <f>IF(I2="","",VLOOKUP(I2,거래처목록!$A$2:$B$20,2,FALSE))</f>
        <v/>
      </c>
      <c r="K2" s="2" t="inlineStr">
        <is>
          <t>9월분 대출이자 지급(J2609-26 결제)</t>
        </is>
      </c>
      <c r="L2" s="7" t="inlineStr">
        <is>
          <t>확인필요: ①'구분' 3(차변)/4(대변)은 위하고 대체전표 기준 가정(양식에 코드 설명 없음) ②미지급비용 줄 거래처 미정(국민은행은 계좌용 98001만 존재, 일단 공란)</t>
        </is>
      </c>
      <c r="M2" s="6" t="inlineStr">
        <is>
          <t>원천데이터 국민 4행 · 결산전표_9월 J2609-26(8행)</t>
        </is>
      </c>
    </row>
    <row r="3">
      <c r="A3" s="2">
        <f>VALUE(LEFT(원천데이터!A4,4))</f>
        <v/>
      </c>
      <c r="B3" s="2">
        <f>VALUE(MID(원천데이터!A4,6,2))</f>
        <v/>
      </c>
      <c r="C3" s="2">
        <f>VALUE(MID(원천데이터!A4,9,2))</f>
        <v/>
      </c>
      <c r="D3" s="2" t="n">
        <v>4</v>
      </c>
      <c r="E3" s="2" t="n">
        <v>103</v>
      </c>
      <c r="F3" s="2">
        <f>VLOOKUP(E3,계정과목표!$A$2:$B$11,2,FALSE)</f>
        <v/>
      </c>
      <c r="G3" s="3" t="n"/>
      <c r="H3" s="3">
        <f>원천데이터!F4</f>
        <v/>
      </c>
      <c r="I3" s="10" t="inlineStr">
        <is>
          <t>98001</t>
        </is>
      </c>
      <c r="J3" s="2">
        <f>IF(I3="","",VLOOKUP(I3,거래처목록!$A$2:$B$20,2,FALSE))</f>
        <v/>
      </c>
      <c r="K3" s="2" t="inlineStr">
        <is>
          <t>9월분 대출이자 지급</t>
        </is>
      </c>
      <c r="M3" s="6" t="inlineStr">
        <is>
          <t>원천데이터 국민 4행</t>
        </is>
      </c>
    </row>
    <row r="4">
      <c r="A4" s="2">
        <f>VALUE(LEFT(원천데이터!A5,4))</f>
        <v/>
      </c>
      <c r="B4" s="2">
        <f>VALUE(MID(원천데이터!A5,6,2))</f>
        <v/>
      </c>
      <c r="C4" s="2">
        <f>VALUE(MID(원천데이터!A5,9,2))</f>
        <v/>
      </c>
      <c r="D4" s="2" t="n">
        <v>3</v>
      </c>
      <c r="E4" s="2" t="n">
        <v>103</v>
      </c>
      <c r="F4" s="2">
        <f>VLOOKUP(E4,계정과목표!$A$2:$B$11,2,FALSE)</f>
        <v/>
      </c>
      <c r="G4" s="3">
        <f>원천데이터!E5</f>
        <v/>
      </c>
      <c r="H4" s="3" t="n"/>
      <c r="I4" s="10" t="inlineStr">
        <is>
          <t>98001</t>
        </is>
      </c>
      <c r="J4" s="2">
        <f>IF(I4="","",VLOOKUP(I4,거래처목록!$A$2:$B$20,2,FALSE))</f>
        <v/>
      </c>
      <c r="K4" s="2" t="inlineStr">
        <is>
          <t>한가람유통 외상대금 회수</t>
        </is>
      </c>
      <c r="M4" s="6" t="inlineStr">
        <is>
          <t>원천데이터 국민 5행</t>
        </is>
      </c>
    </row>
    <row r="5">
      <c r="A5" s="2">
        <f>VALUE(LEFT(원천데이터!A5,4))</f>
        <v/>
      </c>
      <c r="B5" s="2">
        <f>VALUE(MID(원천데이터!A5,6,2))</f>
        <v/>
      </c>
      <c r="C5" s="2">
        <f>VALUE(MID(원천데이터!A5,9,2))</f>
        <v/>
      </c>
      <c r="D5" s="2" t="n">
        <v>4</v>
      </c>
      <c r="E5" s="2" t="n">
        <v>108</v>
      </c>
      <c r="F5" s="2">
        <f>VLOOKUP(E5,계정과목표!$A$2:$B$11,2,FALSE)</f>
        <v/>
      </c>
      <c r="G5" s="3" t="n"/>
      <c r="H5" s="3">
        <f>원천데이터!E5</f>
        <v/>
      </c>
      <c r="I5" s="10" t="inlineStr">
        <is>
          <t>00101</t>
        </is>
      </c>
      <c r="J5" s="2">
        <f>IF(I5="","",VLOOKUP(I5,거래처목록!$A$2:$B$20,2,FALSE))</f>
        <v/>
      </c>
      <c r="K5" s="2" t="inlineStr">
        <is>
          <t>한가람유통 외상대금 회수</t>
        </is>
      </c>
      <c r="M5" s="6" t="inlineStr">
        <is>
          <t>원천데이터 국민 5행</t>
        </is>
      </c>
    </row>
    <row r="6">
      <c r="A6" s="2">
        <f>VALUE(LEFT(원천데이터!A14,4))</f>
        <v/>
      </c>
      <c r="B6" s="2">
        <f>VALUE(MID(원천데이터!A14,6,2))</f>
        <v/>
      </c>
      <c r="C6" s="2">
        <f>VALUE(MID(원천데이터!A14,9,2))</f>
        <v/>
      </c>
      <c r="D6" s="2" t="n">
        <v>3</v>
      </c>
      <c r="E6" s="2" t="n">
        <v>103</v>
      </c>
      <c r="F6" s="2">
        <f>VLOOKUP(E6,계정과목표!$A$2:$B$11,2,FALSE)</f>
        <v/>
      </c>
      <c r="G6" s="3">
        <f>원천데이터!F14</f>
        <v/>
      </c>
      <c r="H6" s="3" t="n"/>
      <c r="I6" s="10" t="inlineStr">
        <is>
          <t>98002</t>
        </is>
      </c>
      <c r="J6" s="2">
        <f>IF(I6="","",VLOOKUP(I6,거래처목록!$A$2:$B$20,2,FALSE))</f>
        <v/>
      </c>
      <c r="K6" s="2" t="inlineStr">
        <is>
          <t>계좌간이체(국민→신한)</t>
        </is>
      </c>
      <c r="M6" s="6" t="inlineStr">
        <is>
          <t>원천데이터 신한 14행 (국민 6행과 쌍)</t>
        </is>
      </c>
    </row>
    <row r="7">
      <c r="A7" s="2">
        <f>VALUE(LEFT(원천데이터!A6,4))</f>
        <v/>
      </c>
      <c r="B7" s="2">
        <f>VALUE(MID(원천데이터!A6,6,2))</f>
        <v/>
      </c>
      <c r="C7" s="2">
        <f>VALUE(MID(원천데이터!A6,9,2))</f>
        <v/>
      </c>
      <c r="D7" s="2" t="n">
        <v>4</v>
      </c>
      <c r="E7" s="2" t="n">
        <v>103</v>
      </c>
      <c r="F7" s="2">
        <f>VLOOKUP(E7,계정과목표!$A$2:$B$11,2,FALSE)</f>
        <v/>
      </c>
      <c r="G7" s="3" t="n"/>
      <c r="H7" s="3">
        <f>원천데이터!F6</f>
        <v/>
      </c>
      <c r="I7" s="10" t="inlineStr">
        <is>
          <t>98001</t>
        </is>
      </c>
      <c r="J7" s="2">
        <f>IF(I7="","",VLOOKUP(I7,거래처목록!$A$2:$B$20,2,FALSE))</f>
        <v/>
      </c>
      <c r="K7" s="2" t="inlineStr">
        <is>
          <t>계좌간이체(국민→신한)</t>
        </is>
      </c>
      <c r="M7" s="6" t="inlineStr">
        <is>
          <t>원천데이터 국민 6행 (신한 14행과 쌍)</t>
        </is>
      </c>
    </row>
    <row r="8">
      <c r="A8" s="2">
        <f>VALUE(LEFT(원천데이터!A7,4))</f>
        <v/>
      </c>
      <c r="B8" s="2">
        <f>VALUE(MID(원천데이터!A7,6,2))</f>
        <v/>
      </c>
      <c r="C8" s="2">
        <f>VALUE(MID(원천데이터!A7,9,2))</f>
        <v/>
      </c>
      <c r="D8" s="2" t="n">
        <v>3</v>
      </c>
      <c r="E8" s="2" t="n">
        <v>103</v>
      </c>
      <c r="F8" s="2">
        <f>VLOOKUP(E8,계정과목표!$A$2:$B$11,2,FALSE)</f>
        <v/>
      </c>
      <c r="G8" s="3">
        <f>원천데이터!E7</f>
        <v/>
      </c>
      <c r="H8" s="3" t="n"/>
      <c r="I8" s="10" t="inlineStr">
        <is>
          <t>98001</t>
        </is>
      </c>
      <c r="J8" s="2">
        <f>IF(I8="","",VLOOKUP(I8,거래처목록!$A$2:$B$20,2,FALSE))</f>
        <v/>
      </c>
      <c r="K8" s="2" t="inlineStr">
        <is>
          <t>미래보험 사내몰 입금</t>
        </is>
      </c>
      <c r="M8" s="6" t="inlineStr">
        <is>
          <t>원천데이터 국민 7행</t>
        </is>
      </c>
    </row>
    <row r="9">
      <c r="A9" s="2">
        <f>VALUE(LEFT(원천데이터!A7,4))</f>
        <v/>
      </c>
      <c r="B9" s="2">
        <f>VALUE(MID(원천데이터!A7,6,2))</f>
        <v/>
      </c>
      <c r="C9" s="2">
        <f>VALUE(MID(원천데이터!A7,9,2))</f>
        <v/>
      </c>
      <c r="D9" s="2" t="n">
        <v>4</v>
      </c>
      <c r="E9" s="2" t="n">
        <v>108</v>
      </c>
      <c r="F9" s="2">
        <f>VLOOKUP(E9,계정과목표!$A$2:$B$11,2,FALSE)</f>
        <v/>
      </c>
      <c r="G9" s="3" t="n"/>
      <c r="H9" s="3">
        <f>원천데이터!E7</f>
        <v/>
      </c>
      <c r="I9" s="10" t="inlineStr">
        <is>
          <t>00104</t>
        </is>
      </c>
      <c r="J9" s="2">
        <f>IF(I9="","",VLOOKUP(I9,거래처목록!$A$2:$B$20,2,FALSE))</f>
        <v/>
      </c>
      <c r="K9" s="2" t="inlineStr">
        <is>
          <t>미래보험 사내몰 입금</t>
        </is>
      </c>
      <c r="M9" s="6" t="inlineStr">
        <is>
          <t>원천데이터 국민 7행</t>
        </is>
      </c>
    </row>
    <row r="10">
      <c r="A10" s="2">
        <f>VALUE(LEFT(원천데이터!A8,4))</f>
        <v/>
      </c>
      <c r="B10" s="2">
        <f>VALUE(MID(원천데이터!A8,6,2))</f>
        <v/>
      </c>
      <c r="C10" s="2">
        <f>VALUE(MID(원천데이터!A8,9,2))</f>
        <v/>
      </c>
      <c r="D10" s="2" t="n">
        <v>3</v>
      </c>
      <c r="E10" s="2" t="n">
        <v>251</v>
      </c>
      <c r="F10" s="2">
        <f>VLOOKUP(E10,계정과목표!$A$2:$B$11,2,FALSE)</f>
        <v/>
      </c>
      <c r="G10" s="3">
        <f>원천데이터!F8</f>
        <v/>
      </c>
      <c r="H10" s="3" t="n"/>
      <c r="I10" s="10" t="inlineStr">
        <is>
          <t>00203</t>
        </is>
      </c>
      <c r="J10" s="2">
        <f>IF(I10="","",VLOOKUP(I10,거래처목록!$A$2:$B$20,2,FALSE))</f>
        <v/>
      </c>
      <c r="K10" s="2" t="inlineStr">
        <is>
          <t>매입처V03 외상대금 지급</t>
        </is>
      </c>
      <c r="M10" s="6" t="inlineStr">
        <is>
          <t>원천데이터 국민 8행</t>
        </is>
      </c>
    </row>
    <row r="11">
      <c r="A11" s="2">
        <f>VALUE(LEFT(원천데이터!A8,4))</f>
        <v/>
      </c>
      <c r="B11" s="2">
        <f>VALUE(MID(원천데이터!A8,6,2))</f>
        <v/>
      </c>
      <c r="C11" s="2">
        <f>VALUE(MID(원천데이터!A8,9,2))</f>
        <v/>
      </c>
      <c r="D11" s="2" t="n">
        <v>4</v>
      </c>
      <c r="E11" s="2" t="n">
        <v>103</v>
      </c>
      <c r="F11" s="2">
        <f>VLOOKUP(E11,계정과목표!$A$2:$B$11,2,FALSE)</f>
        <v/>
      </c>
      <c r="G11" s="3" t="n"/>
      <c r="H11" s="3">
        <f>원천데이터!F8</f>
        <v/>
      </c>
      <c r="I11" s="10" t="inlineStr">
        <is>
          <t>98001</t>
        </is>
      </c>
      <c r="J11" s="2">
        <f>IF(I11="","",VLOOKUP(I11,거래처목록!$A$2:$B$20,2,FALSE))</f>
        <v/>
      </c>
      <c r="K11" s="2" t="inlineStr">
        <is>
          <t>매입처V03 외상대금 지급</t>
        </is>
      </c>
      <c r="M11" s="6" t="inlineStr">
        <is>
          <t>원천데이터 국민 8행</t>
        </is>
      </c>
    </row>
    <row r="12">
      <c r="A12" s="2">
        <f>VALUE(LEFT(원천데이터!A9,4))</f>
        <v/>
      </c>
      <c r="B12" s="2">
        <f>VALUE(MID(원천데이터!A9,6,2))</f>
        <v/>
      </c>
      <c r="C12" s="2">
        <f>VALUE(MID(원천데이터!A9,9,2))</f>
        <v/>
      </c>
      <c r="D12" s="2" t="n">
        <v>3</v>
      </c>
      <c r="E12" s="9" t="n">
        <v>824</v>
      </c>
      <c r="F12" s="9">
        <f>VLOOKUP(E12,계정과목표!$A$2:$B$11,2,FALSE)</f>
        <v/>
      </c>
      <c r="G12" s="11">
        <f>원천데이터!F9</f>
        <v/>
      </c>
      <c r="H12" s="3" t="n"/>
      <c r="I12" s="10" t="inlineStr">
        <is>
          <t>00301</t>
        </is>
      </c>
      <c r="J12" s="2">
        <f>IF(I12="","",VLOOKUP(I12,거래처목록!$A$2:$B$20,2,FALSE))</f>
        <v/>
      </c>
      <c r="K12" s="2" t="inlineStr">
        <is>
          <t>택배사T01 택배비 지급</t>
        </is>
      </c>
      <c r="L12" s="7" t="inlineStr">
        <is>
          <t>확인필요: 운반비(824)는 임시 처리. 9월분 택배비가 미지급금(253)으로 잡혀 있었다면 차변 253 결제가 맞음. 9월엔 주1회 자동이체 약 120만원이었으나 이번은 580만원·인터넷 송금</t>
        </is>
      </c>
      <c r="M12" s="6" t="inlineStr">
        <is>
          <t>원천데이터 국민 9행</t>
        </is>
      </c>
    </row>
    <row r="13">
      <c r="A13" s="2">
        <f>VALUE(LEFT(원천데이터!A9,4))</f>
        <v/>
      </c>
      <c r="B13" s="2">
        <f>VALUE(MID(원천데이터!A9,6,2))</f>
        <v/>
      </c>
      <c r="C13" s="2">
        <f>VALUE(MID(원천데이터!A9,9,2))</f>
        <v/>
      </c>
      <c r="D13" s="2" t="n">
        <v>4</v>
      </c>
      <c r="E13" s="2" t="n">
        <v>103</v>
      </c>
      <c r="F13" s="2">
        <f>VLOOKUP(E13,계정과목표!$A$2:$B$11,2,FALSE)</f>
        <v/>
      </c>
      <c r="G13" s="3" t="n"/>
      <c r="H13" s="3">
        <f>원천데이터!F9</f>
        <v/>
      </c>
      <c r="I13" s="10" t="inlineStr">
        <is>
          <t>98001</t>
        </is>
      </c>
      <c r="J13" s="2">
        <f>IF(I13="","",VLOOKUP(I13,거래처목록!$A$2:$B$20,2,FALSE))</f>
        <v/>
      </c>
      <c r="K13" s="2" t="inlineStr">
        <is>
          <t>택배사T01 택배비 지급</t>
        </is>
      </c>
      <c r="M13" s="6" t="inlineStr">
        <is>
          <t>원천데이터 국민 9행</t>
        </is>
      </c>
    </row>
    <row r="14">
      <c r="A14" s="2">
        <f>VALUE(LEFT(원천데이터!A15,4))</f>
        <v/>
      </c>
      <c r="B14" s="2">
        <f>VALUE(MID(원천데이터!A15,6,2))</f>
        <v/>
      </c>
      <c r="C14" s="2">
        <f>VALUE(MID(원천데이터!A15,9,2))</f>
        <v/>
      </c>
      <c r="D14" s="2" t="n">
        <v>3</v>
      </c>
      <c r="E14" s="2" t="n">
        <v>262</v>
      </c>
      <c r="F14" s="2">
        <f>VLOOKUP(E14,계정과목표!$A$2:$B$11,2,FALSE)</f>
        <v/>
      </c>
      <c r="G14" s="3">
        <f>결산전표_9월!D7</f>
        <v/>
      </c>
      <c r="H14" s="3" t="n"/>
      <c r="I14" s="10" t="n"/>
      <c r="J14" s="2">
        <f>IF(I14="","",VLOOKUP(I14,거래처목록!$A$2:$B$20,2,FALSE))</f>
        <v/>
      </c>
      <c r="K14" s="2" t="inlineStr">
        <is>
          <t>9월 상여 지급(J2609-25 결제)</t>
        </is>
      </c>
      <c r="M14" s="6" t="inlineStr">
        <is>
          <t>결산전표_9월 J2609-25(7행) 차변금액 · 지급일 원천데이터 신한 15행</t>
        </is>
      </c>
    </row>
    <row r="15">
      <c r="A15" s="2">
        <f>VALUE(LEFT(원천데이터!A15,4))</f>
        <v/>
      </c>
      <c r="B15" s="2">
        <f>VALUE(MID(원천데이터!A15,6,2))</f>
        <v/>
      </c>
      <c r="C15" s="2">
        <f>VALUE(MID(원천데이터!A15,9,2))</f>
        <v/>
      </c>
      <c r="D15" s="2" t="n">
        <v>4</v>
      </c>
      <c r="E15" s="2" t="n">
        <v>103</v>
      </c>
      <c r="F15" s="2">
        <f>VLOOKUP(E15,계정과목표!$A$2:$B$11,2,FALSE)</f>
        <v/>
      </c>
      <c r="G15" s="3" t="n"/>
      <c r="H15" s="3">
        <f>원천데이터!E15</f>
        <v/>
      </c>
      <c r="I15" s="10" t="inlineStr">
        <is>
          <t>98002</t>
        </is>
      </c>
      <c r="J15" s="2">
        <f>IF(I15="","",VLOOKUP(I15,거래처목록!$A$2:$B$20,2,FALSE))</f>
        <v/>
      </c>
      <c r="K15" s="2" t="inlineStr">
        <is>
          <t>9월 상여 지급(실수령액)</t>
        </is>
      </c>
      <c r="M15" s="6" t="inlineStr">
        <is>
          <t>원천데이터 신한 15행</t>
        </is>
      </c>
    </row>
    <row r="16">
      <c r="A16" s="2">
        <f>VALUE(LEFT(원천데이터!A15,4))</f>
        <v/>
      </c>
      <c r="B16" s="2">
        <f>VALUE(MID(원천데이터!A15,6,2))</f>
        <v/>
      </c>
      <c r="C16" s="2">
        <f>VALUE(MID(원천데이터!A15,9,2))</f>
        <v/>
      </c>
      <c r="D16" s="2" t="n">
        <v>4</v>
      </c>
      <c r="E16" s="9" t="n">
        <v>254</v>
      </c>
      <c r="F16" s="9">
        <f>VLOOKUP(E16,계정과목표!$A$2:$B$11,2,FALSE)</f>
        <v/>
      </c>
      <c r="G16" s="3" t="n"/>
      <c r="H16" s="11">
        <f>G14-H15</f>
        <v/>
      </c>
      <c r="I16" s="10" t="n"/>
      <c r="J16" s="2">
        <f>IF(I16="","",VLOOKUP(I16,거래처목록!$A$2:$B$20,2,FALSE))</f>
        <v/>
      </c>
      <c r="K16" s="2" t="inlineStr">
        <is>
          <t>9월 상여 원천징수분</t>
        </is>
      </c>
      <c r="L16" s="7" t="inlineStr">
        <is>
          <t>확인필요: 예수금 282,100은 3,100,000−2,817,900 역산값(수식). 세목별 원천징수 내역이 파일에 없음. 상여 총액 3,100,000은 J2609-25 근거</t>
        </is>
      </c>
      <c r="M16" s="6" t="inlineStr">
        <is>
          <t>미지급비용 차변(G14) − 보통예금 지급액(H15)</t>
        </is>
      </c>
    </row>
    <row r="17">
      <c r="A17" s="2" t="n"/>
      <c r="B17" s="2" t="n"/>
      <c r="C17" s="2" t="n"/>
      <c r="D17" s="2" t="n"/>
      <c r="E17" s="2" t="n"/>
      <c r="F17" s="2" t="n"/>
      <c r="G17" s="3" t="n"/>
      <c r="H17" s="3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3" t="n"/>
      <c r="H18" s="3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3" t="n"/>
      <c r="H19" s="3" t="n"/>
      <c r="I19" s="2" t="n"/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3" t="n"/>
      <c r="H20" s="3" t="n"/>
      <c r="I20" s="2" t="n"/>
      <c r="J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3" t="n"/>
      <c r="H21" s="3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3" t="n"/>
      <c r="H22" s="3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3" t="n"/>
      <c r="H23" s="3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3" t="n"/>
      <c r="H24" s="3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3" t="n"/>
      <c r="H25" s="3" t="n"/>
      <c r="I25" s="2" t="n"/>
      <c r="J25" s="2" t="n"/>
      <c r="K25" s="2" t="n"/>
    </row>
    <row r="26">
      <c r="A26" s="2" t="n"/>
      <c r="B26" s="2" t="n"/>
      <c r="C26" s="2" t="n"/>
      <c r="D26" s="2" t="n"/>
      <c r="E26" s="2" t="n"/>
      <c r="F26" s="2" t="n"/>
      <c r="G26" s="3" t="n"/>
      <c r="H26" s="3" t="n"/>
      <c r="I26" s="2" t="n"/>
      <c r="J26" s="2" t="n"/>
      <c r="K26" s="2" t="n"/>
    </row>
    <row r="27">
      <c r="A27" s="2" t="n"/>
      <c r="B27" s="2" t="n"/>
      <c r="C27" s="2" t="n"/>
      <c r="D27" s="2" t="n"/>
      <c r="E27" s="2" t="n"/>
      <c r="F27" s="2" t="n"/>
      <c r="G27" s="3" t="n"/>
      <c r="H27" s="3" t="n"/>
      <c r="I27" s="2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3" t="n"/>
      <c r="H28" s="3" t="n"/>
      <c r="I28" s="2" t="n"/>
      <c r="J28" s="2" t="n"/>
      <c r="K28" s="2" t="n"/>
    </row>
    <row r="29">
      <c r="A29" s="2" t="n"/>
      <c r="B29" s="2" t="n"/>
      <c r="C29" s="2" t="n"/>
      <c r="D29" s="2" t="n"/>
      <c r="E29" s="2" t="n"/>
      <c r="F29" s="2" t="n"/>
      <c r="G29" s="3" t="n"/>
      <c r="H29" s="3" t="n"/>
      <c r="I29" s="2" t="n"/>
      <c r="J29" s="2" t="n"/>
      <c r="K29" s="2" t="n"/>
    </row>
    <row r="30">
      <c r="A30" s="2" t="n"/>
      <c r="B30" s="2" t="n"/>
      <c r="C30" s="2" t="n"/>
      <c r="D30" s="2" t="n"/>
      <c r="E30" s="2" t="n"/>
      <c r="F30" s="2" t="n"/>
      <c r="G30" s="3" t="n"/>
      <c r="H30" s="3" t="n"/>
      <c r="I30" s="2" t="n"/>
      <c r="J30" s="2" t="n"/>
      <c r="K30" s="2" t="n"/>
    </row>
    <row r="31">
      <c r="A31" s="2" t="n"/>
      <c r="B31" s="2" t="n"/>
      <c r="C31" s="2" t="n"/>
      <c r="D31" s="2" t="n"/>
      <c r="E31" s="2" t="n"/>
      <c r="F31" s="2" t="n"/>
      <c r="G31" s="3" t="n"/>
      <c r="H31" s="3" t="n"/>
      <c r="I31" s="2" t="n"/>
      <c r="J31" s="2" t="n"/>
      <c r="K31" s="2" t="n"/>
    </row>
    <row r="32">
      <c r="A32" s="2" t="n"/>
      <c r="B32" s="2" t="n"/>
      <c r="C32" s="2" t="n"/>
      <c r="D32" s="2" t="n"/>
      <c r="E32" s="2" t="n"/>
      <c r="F32" s="2" t="n"/>
      <c r="G32" s="3" t="n"/>
      <c r="H32" s="3" t="n"/>
      <c r="I32" s="2" t="n"/>
      <c r="J32" s="2" t="n"/>
      <c r="K32" s="2" t="n"/>
    </row>
    <row r="33">
      <c r="A33" s="2" t="n"/>
      <c r="B33" s="2" t="n"/>
      <c r="C33" s="2" t="n"/>
      <c r="D33" s="2" t="n"/>
      <c r="E33" s="2" t="n"/>
      <c r="F33" s="2" t="n"/>
      <c r="G33" s="3" t="n"/>
      <c r="H33" s="3" t="n"/>
      <c r="I33" s="2" t="n"/>
      <c r="J33" s="2" t="n"/>
      <c r="K33" s="2" t="n"/>
    </row>
    <row r="34">
      <c r="A34" s="2" t="n"/>
      <c r="B34" s="2" t="n"/>
      <c r="C34" s="2" t="n"/>
      <c r="D34" s="2" t="n"/>
      <c r="E34" s="2" t="n"/>
      <c r="F34" s="2" t="n"/>
      <c r="G34" s="3" t="n"/>
      <c r="H34" s="3" t="n"/>
      <c r="I34" s="2" t="n"/>
      <c r="J34" s="2" t="n"/>
      <c r="K34" s="2" t="n"/>
    </row>
    <row r="35">
      <c r="A35" s="2" t="n"/>
      <c r="B35" s="2" t="n"/>
      <c r="C35" s="2" t="n"/>
      <c r="D35" s="2" t="n"/>
      <c r="E35" s="2" t="n"/>
      <c r="F35" s="2" t="n"/>
      <c r="G35" s="3" t="n"/>
      <c r="H35" s="3" t="n"/>
      <c r="I35" s="2" t="n"/>
      <c r="J35" s="2" t="n"/>
      <c r="K35" s="2" t="n"/>
    </row>
    <row r="36">
      <c r="A36" s="2" t="n"/>
      <c r="B36" s="2" t="n"/>
      <c r="C36" s="2" t="n"/>
      <c r="D36" s="2" t="n"/>
      <c r="E36" s="2" t="n"/>
      <c r="F36" s="2" t="n"/>
      <c r="G36" s="3" t="n"/>
      <c r="H36" s="3" t="n"/>
      <c r="I36" s="2" t="n"/>
      <c r="J36" s="2" t="n"/>
      <c r="K36" s="2" t="n"/>
    </row>
    <row r="37">
      <c r="A37" s="2" t="n"/>
      <c r="B37" s="2" t="n"/>
      <c r="C37" s="2" t="n"/>
      <c r="D37" s="2" t="n"/>
      <c r="E37" s="2" t="n"/>
      <c r="F37" s="2" t="n"/>
      <c r="G37" s="3" t="n"/>
      <c r="H37" s="3" t="n"/>
      <c r="I37" s="2" t="n"/>
      <c r="J37" s="2" t="n"/>
      <c r="K37" s="2" t="n"/>
    </row>
    <row r="38">
      <c r="A38" s="2" t="n"/>
      <c r="B38" s="2" t="n"/>
      <c r="C38" s="2" t="n"/>
      <c r="D38" s="2" t="n"/>
      <c r="E38" s="2" t="n"/>
      <c r="F38" s="2" t="n"/>
      <c r="G38" s="3" t="n"/>
      <c r="H38" s="3" t="n"/>
      <c r="I38" s="2" t="n"/>
      <c r="J38" s="2" t="n"/>
      <c r="K38" s="2" t="n"/>
    </row>
    <row r="39">
      <c r="A39" s="2" t="n"/>
      <c r="B39" s="2" t="n"/>
      <c r="C39" s="2" t="n"/>
      <c r="D39" s="2" t="n"/>
      <c r="E39" s="2" t="n"/>
      <c r="F39" s="2" t="n"/>
      <c r="G39" s="3" t="n"/>
      <c r="H39" s="3" t="n"/>
      <c r="I39" s="2" t="n"/>
      <c r="J39" s="2" t="n"/>
      <c r="K39" s="2" t="n"/>
    </row>
    <row r="40">
      <c r="A40" s="2" t="n"/>
      <c r="B40" s="2" t="n"/>
      <c r="C40" s="2" t="n"/>
      <c r="D40" s="2" t="n"/>
      <c r="E40" s="2" t="n"/>
      <c r="F40" s="2" t="n"/>
      <c r="G40" s="3" t="n"/>
      <c r="H40" s="3" t="n"/>
      <c r="I40" s="2" t="n"/>
      <c r="J40" s="2" t="n"/>
      <c r="K4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8" customWidth="1" min="3" max="3"/>
    <col width="18" customWidth="1" min="4" max="4"/>
    <col width="14" customWidth="1" min="5" max="5"/>
    <col width="12" customWidth="1" min="6" max="6"/>
  </cols>
  <sheetData>
    <row r="1">
      <c r="A1" s="1" t="inlineStr">
        <is>
          <t>번호</t>
        </is>
      </c>
      <c r="B1" s="1" t="inlineStr">
        <is>
          <t>검산 항목</t>
        </is>
      </c>
      <c r="C1" s="1" t="inlineStr">
        <is>
          <t>왼쪽 값</t>
        </is>
      </c>
      <c r="D1" s="1" t="inlineStr">
        <is>
          <t>오른쪽 값</t>
        </is>
      </c>
      <c r="E1" s="1" t="inlineStr">
        <is>
          <t>차이</t>
        </is>
      </c>
      <c r="F1" s="1" t="inlineStr">
        <is>
          <t>결과</t>
        </is>
      </c>
    </row>
    <row r="2">
      <c r="A2" t="n">
        <v>1</v>
      </c>
      <c r="B2" t="inlineStr">
        <is>
          <t>차변 합계 = 대변 합계</t>
        </is>
      </c>
      <c r="C2" s="4">
        <f>SUM(일반전표!G2:G200)</f>
        <v/>
      </c>
      <c r="D2" s="4">
        <f>SUM(일반전표!H2:H200)</f>
        <v/>
      </c>
      <c r="E2" s="4">
        <f>C2-D2</f>
        <v/>
      </c>
      <c r="F2">
        <f>IF(OR(COUNT(일반전표!G2:G200)=0,COUNT(C10:C11)&lt;2),"미입력",IF(ABS(E2)&lt;0.5,"PASS","FAIL"))</f>
        <v/>
      </c>
    </row>
    <row r="3">
      <c r="A3" t="n">
        <v>2</v>
      </c>
      <c r="B3" t="inlineStr">
        <is>
          <t>보통예금(103) 차변 합계 = 두 계좌 입금 합계(자금일보)</t>
        </is>
      </c>
      <c r="C3" s="4">
        <f>SUMIFS(일반전표!G2:G200,일반전표!E2:E200,103)</f>
        <v/>
      </c>
      <c r="D3" s="4">
        <f>C10</f>
        <v/>
      </c>
      <c r="E3" s="4">
        <f>C3-D3</f>
        <v/>
      </c>
      <c r="F3">
        <f>IF(OR(COUNT(일반전표!G2:G200)=0,COUNT(C10:C11)&lt;2),"미입력",IF(ABS(E3)&lt;0.5,"PASS","FAIL"))</f>
        <v/>
      </c>
    </row>
    <row r="4">
      <c r="A4" t="n">
        <v>3</v>
      </c>
      <c r="B4" t="inlineStr">
        <is>
          <t>보통예금(103) 대변 합계 = 두 계좌 출금 합계(자금일보)</t>
        </is>
      </c>
      <c r="C4" s="4">
        <f>SUMIFS(일반전표!H2:H200,일반전표!E2:E200,103)</f>
        <v/>
      </c>
      <c r="D4" s="4">
        <f>C11</f>
        <v/>
      </c>
      <c r="E4" s="4">
        <f>C4-D4</f>
        <v/>
      </c>
      <c r="F4">
        <f>IF(OR(COUNT(일반전표!G2:G200)=0,COUNT(C10:C11)&lt;2),"미입력",IF(ABS(E4)&lt;0.5,"PASS","FAIL"))</f>
        <v/>
      </c>
    </row>
    <row r="5">
      <c r="B5" s="5" t="inlineStr">
        <is>
          <t>전체 결과</t>
        </is>
      </c>
      <c r="F5" s="5">
        <f>IF(COUNTIF(F2:F4,"PASS")=3,"PASS",IF(COUNTIF(F2:F4,"미입력")&gt;0,"미입력","FAIL"))</f>
        <v/>
      </c>
    </row>
    <row r="9">
      <c r="B9" s="5" t="inlineStr">
        <is>
          <t>자금일보에서 옮겨 적는 값</t>
        </is>
      </c>
    </row>
    <row r="10">
      <c r="B10" t="inlineStr">
        <is>
          <t>두 계좌 입금 합계(자금일보 입금 합계)</t>
        </is>
      </c>
      <c r="C10" s="3">
        <f>자금일보값!C4</f>
        <v/>
      </c>
    </row>
    <row r="11">
      <c r="B11" t="inlineStr">
        <is>
          <t>두 계좌 출금 합계(자금일보 출금 합계)</t>
        </is>
      </c>
      <c r="C11" s="3">
        <f>자금일보값!D4</f>
        <v/>
      </c>
    </row>
    <row r="13">
      <c r="B13" s="6" t="inlineStr">
        <is>
          <t>PASS는 합계가 맞는다는 뜻입니다. 계정·거래처를 맞게 골랐는지는 따로 확인합니다.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2" customWidth="1" min="4" max="4"/>
    <col width="18" customWidth="1" min="5" max="5"/>
    <col width="18" customWidth="1" min="6" max="6"/>
    <col width="16" customWidth="1" min="7" max="7"/>
    <col width="10" customWidth="1" min="8" max="8"/>
    <col width="8" customWidth="1" min="9" max="9"/>
    <col width="14" customWidth="1" min="10" max="10"/>
    <col width="3" customWidth="1" min="11" max="11"/>
    <col width="10" customWidth="1" min="12" max="12"/>
  </cols>
  <sheetData>
    <row r="1">
      <c r="A1" s="5" t="inlineStr">
        <is>
          <t>원천데이터 · 은행 거래내역 2026-10-01 (추가자료_10월1일/거래내역_2026-10-01.xlsx 값 그대로)</t>
        </is>
      </c>
    </row>
    <row r="2">
      <c r="A2" s="5" t="inlineStr">
        <is>
          <t>국민 업무용 (시트 "국민 업무용")</t>
        </is>
      </c>
    </row>
    <row r="3">
      <c r="A3" s="1" t="inlineStr">
        <is>
          <t>거래일시</t>
        </is>
      </c>
      <c r="B3" s="1" t="inlineStr">
        <is>
          <t>적요</t>
        </is>
      </c>
      <c r="C3" s="1" t="inlineStr">
        <is>
          <t>추가메모</t>
        </is>
      </c>
      <c r="D3" s="1" t="inlineStr">
        <is>
          <t>의뢰인/수취인</t>
        </is>
      </c>
      <c r="E3" s="1" t="inlineStr">
        <is>
          <t>입금</t>
        </is>
      </c>
      <c r="F3" s="1" t="inlineStr">
        <is>
          <t>출금</t>
        </is>
      </c>
      <c r="G3" s="1" t="inlineStr">
        <is>
          <t>거래후잔액</t>
        </is>
      </c>
      <c r="H3" s="1" t="inlineStr">
        <is>
          <t>구분</t>
        </is>
      </c>
      <c r="I3" s="1" t="inlineStr">
        <is>
          <t>거래점</t>
        </is>
      </c>
      <c r="J3" s="1" t="inlineStr">
        <is>
          <t>거래특이사항</t>
        </is>
      </c>
      <c r="L3" s="1" t="inlineStr">
        <is>
          <t>잔액검증</t>
        </is>
      </c>
    </row>
    <row r="4">
      <c r="A4" t="inlineStr">
        <is>
          <t>2026-10-01 09:05:37</t>
        </is>
      </c>
      <c r="B4" t="inlineStr">
        <is>
          <t>대출이자</t>
        </is>
      </c>
      <c r="E4" s="4" t="n"/>
      <c r="F4" s="4" t="n">
        <v>650000</v>
      </c>
      <c r="G4" s="4" t="n">
        <v>811790310</v>
      </c>
      <c r="H4" t="inlineStr">
        <is>
          <t>대체</t>
        </is>
      </c>
      <c r="I4" t="inlineStr">
        <is>
          <t>본점</t>
        </is>
      </c>
      <c r="L4">
        <f>IF(ABS(자금일보값!$B$2+N(E4)-N(F4)-G4)&lt;0.5,"OK","ERR")</f>
        <v/>
      </c>
    </row>
    <row r="5">
      <c r="A5" t="inlineStr">
        <is>
          <t>2026-10-01 10:17:23</t>
        </is>
      </c>
      <c r="B5" t="inlineStr">
        <is>
          <t>한가람유통</t>
        </is>
      </c>
      <c r="D5" t="inlineStr">
        <is>
          <t>한가람유통(주)</t>
        </is>
      </c>
      <c r="E5" s="4" t="n">
        <v>58410000</v>
      </c>
      <c r="F5" s="4" t="n"/>
      <c r="G5" s="4" t="n">
        <v>870200310</v>
      </c>
      <c r="H5" t="inlineStr">
        <is>
          <t>타행이체</t>
        </is>
      </c>
      <c r="I5" t="inlineStr">
        <is>
          <t>타행</t>
        </is>
      </c>
      <c r="L5">
        <f>IF(ABS(G4+N(E5)-N(F5)-G5)&lt;0.5,"OK","ERR")</f>
        <v/>
      </c>
    </row>
    <row r="6">
      <c r="A6" t="inlineStr">
        <is>
          <t>2026-10-01 11:02:20</t>
        </is>
      </c>
      <c r="B6" t="inlineStr">
        <is>
          <t>(주)다온생활</t>
        </is>
      </c>
      <c r="D6" t="inlineStr">
        <is>
          <t>(주)다온생활</t>
        </is>
      </c>
      <c r="E6" s="4" t="n"/>
      <c r="F6" s="4" t="n">
        <v>3100000</v>
      </c>
      <c r="G6" s="4" t="n">
        <v>867100310</v>
      </c>
      <c r="H6" t="inlineStr">
        <is>
          <t>타행송금</t>
        </is>
      </c>
      <c r="I6" t="inlineStr">
        <is>
          <t>인터넷</t>
        </is>
      </c>
      <c r="L6">
        <f>IF(ABS(G5+N(E6)-N(F6)-G6)&lt;0.5,"OK","ERR")</f>
        <v/>
      </c>
    </row>
    <row r="7">
      <c r="A7" t="inlineStr">
        <is>
          <t>2026-10-01 11:09:30</t>
        </is>
      </c>
      <c r="B7" t="inlineStr">
        <is>
          <t>미래보험사내몰</t>
        </is>
      </c>
      <c r="D7" t="inlineStr">
        <is>
          <t>미래보험(주) 사내몰</t>
        </is>
      </c>
      <c r="E7" s="4" t="n">
        <v>3100000</v>
      </c>
      <c r="F7" s="4" t="n"/>
      <c r="G7" s="4" t="n">
        <v>870200310</v>
      </c>
      <c r="H7" t="inlineStr">
        <is>
          <t>타행이체</t>
        </is>
      </c>
      <c r="I7" t="inlineStr">
        <is>
          <t>타행</t>
        </is>
      </c>
      <c r="L7">
        <f>IF(ABS(G6+N(E7)-N(F7)-G7)&lt;0.5,"OK","ERR")</f>
        <v/>
      </c>
    </row>
    <row r="8">
      <c r="A8" t="inlineStr">
        <is>
          <t>2026-10-01 14:26:15</t>
        </is>
      </c>
      <c r="B8" t="inlineStr">
        <is>
          <t>매입처V03</t>
        </is>
      </c>
      <c r="D8" t="inlineStr">
        <is>
          <t>매입처V03</t>
        </is>
      </c>
      <c r="E8" s="4" t="n"/>
      <c r="F8" s="4" t="n">
        <v>27280000</v>
      </c>
      <c r="G8" s="4" t="n">
        <v>842920310</v>
      </c>
      <c r="H8" t="inlineStr">
        <is>
          <t>타행송금</t>
        </is>
      </c>
      <c r="I8" t="inlineStr">
        <is>
          <t>인터넷</t>
        </is>
      </c>
      <c r="L8">
        <f>IF(ABS(G7+N(E8)-N(F8)-G8)&lt;0.5,"OK","ERR")</f>
        <v/>
      </c>
    </row>
    <row r="9">
      <c r="A9" t="inlineStr">
        <is>
          <t>2026-10-01 15:48:43</t>
        </is>
      </c>
      <c r="B9" t="inlineStr">
        <is>
          <t>택배사T01</t>
        </is>
      </c>
      <c r="D9" t="inlineStr">
        <is>
          <t>택배사T01</t>
        </is>
      </c>
      <c r="E9" s="4" t="n"/>
      <c r="F9" s="4" t="n">
        <v>5802610</v>
      </c>
      <c r="G9" s="4" t="n">
        <v>837117700</v>
      </c>
      <c r="H9" t="inlineStr">
        <is>
          <t>타행송금</t>
        </is>
      </c>
      <c r="I9" t="inlineStr">
        <is>
          <t>인터넷</t>
        </is>
      </c>
      <c r="L9">
        <f>IF(ABS(G8+N(E9)-N(F9)-G9)&lt;0.5,"OK","ERR")</f>
        <v/>
      </c>
    </row>
    <row r="12">
      <c r="A12" s="5" t="inlineStr">
        <is>
          <t>신한 급여 (시트 "신한 급여")</t>
        </is>
      </c>
    </row>
    <row r="13">
      <c r="A13" s="1" t="inlineStr">
        <is>
          <t>거래일자</t>
        </is>
      </c>
      <c r="B13" s="1" t="inlineStr">
        <is>
          <t>거래시간</t>
        </is>
      </c>
      <c r="C13" s="1" t="inlineStr">
        <is>
          <t>적요</t>
        </is>
      </c>
      <c r="D13" s="1" t="inlineStr">
        <is>
          <t>기재내용</t>
        </is>
      </c>
      <c r="E13" s="1" t="inlineStr">
        <is>
          <t>찾으신금액(출금)</t>
        </is>
      </c>
      <c r="F13" s="1" t="inlineStr">
        <is>
          <t>맡기신금액(입금)</t>
        </is>
      </c>
      <c r="G13" s="1" t="inlineStr">
        <is>
          <t>거래후잔액</t>
        </is>
      </c>
      <c r="L13" s="1" t="inlineStr">
        <is>
          <t>잔액검증</t>
        </is>
      </c>
    </row>
    <row r="14">
      <c r="A14" t="inlineStr">
        <is>
          <t>2026.10.01</t>
        </is>
      </c>
      <c r="B14" t="inlineStr">
        <is>
          <t>11:02:00</t>
        </is>
      </c>
      <c r="C14" t="inlineStr">
        <is>
          <t>타행입금</t>
        </is>
      </c>
      <c r="D14" t="inlineStr">
        <is>
          <t>(주)다온생활</t>
        </is>
      </c>
      <c r="E14" s="4" t="n">
        <v>0</v>
      </c>
      <c r="F14" s="4" t="n">
        <v>3100000</v>
      </c>
      <c r="G14" s="4" t="n">
        <v>38310000</v>
      </c>
      <c r="L14">
        <f>IF(ABS(자금일보값!$B$3+F14-E14-G14)&lt;0.5,"OK","ERR")</f>
        <v/>
      </c>
    </row>
    <row r="15">
      <c r="A15" t="inlineStr">
        <is>
          <t>2026.10.01</t>
        </is>
      </c>
      <c r="B15" t="inlineStr">
        <is>
          <t>16:00:00</t>
        </is>
      </c>
      <c r="C15" t="inlineStr">
        <is>
          <t>대량이체</t>
        </is>
      </c>
      <c r="D15" t="inlineStr">
        <is>
          <t>9월 상여</t>
        </is>
      </c>
      <c r="E15" s="4" t="n">
        <v>2817900</v>
      </c>
      <c r="F15" s="4" t="n">
        <v>0</v>
      </c>
      <c r="G15" s="4" t="n">
        <v>35492100</v>
      </c>
      <c r="L15">
        <f>IF(ABS(G14+F15-E15-G15)&lt;0.5,"OK","ERR")</f>
        <v/>
      </c>
    </row>
    <row r="17">
      <c r="A17" s="6" t="inlineStr">
        <is>
          <t>* L열 잔액검증: 직전 거래후잔액(첫 행은 전일잔액) + 입금 − 출금 = 거래후잔액 이면 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2" customWidth="1" min="7" max="7"/>
  </cols>
  <sheetData>
    <row r="1">
      <c r="A1" s="1" t="inlineStr">
        <is>
          <t>계좌</t>
        </is>
      </c>
      <c r="B1" s="1" t="inlineStr">
        <is>
          <t>전일 잔액</t>
        </is>
      </c>
      <c r="C1" s="1" t="inlineStr">
        <is>
          <t>입금</t>
        </is>
      </c>
      <c r="D1" s="1" t="inlineStr">
        <is>
          <t>출금</t>
        </is>
      </c>
      <c r="E1" s="1" t="inlineStr">
        <is>
          <t>금일 잔액</t>
        </is>
      </c>
      <c r="F1" s="1" t="inlineStr">
        <is>
          <t>은행 조회 잔액</t>
        </is>
      </c>
      <c r="G1" s="1" t="inlineStr">
        <is>
          <t>거래처코드</t>
        </is>
      </c>
    </row>
    <row r="2">
      <c r="A2" t="inlineStr">
        <is>
          <t>국민 업무용</t>
        </is>
      </c>
      <c r="B2" s="4" t="n">
        <v>812440310</v>
      </c>
      <c r="C2" s="4" t="n">
        <v>61510000</v>
      </c>
      <c r="D2" s="4" t="n">
        <v>36832610</v>
      </c>
      <c r="E2" s="4">
        <f>B2+C2-D2</f>
        <v/>
      </c>
      <c r="F2" s="4" t="n">
        <v>837117700</v>
      </c>
      <c r="G2" t="inlineStr">
        <is>
          <t>98001</t>
        </is>
      </c>
    </row>
    <row r="3">
      <c r="A3" t="inlineStr">
        <is>
          <t>신한 급여</t>
        </is>
      </c>
      <c r="B3" s="4" t="n">
        <v>35210000</v>
      </c>
      <c r="C3" s="4" t="n">
        <v>3100000</v>
      </c>
      <c r="D3" s="4" t="n">
        <v>2817900</v>
      </c>
      <c r="E3" s="4">
        <f>B3+C3-D3</f>
        <v/>
      </c>
      <c r="F3" s="4" t="n">
        <v>35492100</v>
      </c>
      <c r="G3" t="inlineStr">
        <is>
          <t>98002</t>
        </is>
      </c>
    </row>
    <row r="4">
      <c r="A4" s="5" t="inlineStr">
        <is>
          <t>합계</t>
        </is>
      </c>
      <c r="B4" s="4">
        <f>SUM(B2:B3)</f>
        <v/>
      </c>
      <c r="C4" s="4">
        <f>SUM(C2:C3)</f>
        <v/>
      </c>
      <c r="D4" s="4">
        <f>SUM(D2:D3)</f>
        <v/>
      </c>
      <c r="E4" s="4">
        <f>SUM(E2:E3)</f>
        <v/>
      </c>
      <c r="F4" s="4">
        <f>SUM(F2:F3)</f>
        <v/>
      </c>
    </row>
    <row r="6">
      <c r="A6" s="6" t="inlineStr">
        <is>
          <t>출처: 입금·출금·은행 조회 잔액 = output/자금일보_2026-10-01.xlsx (자금일보 시트 C6:D7, H6:H7)</t>
        </is>
      </c>
    </row>
    <row r="7">
      <c r="A7" s="6" t="inlineStr">
        <is>
          <t>출처: 전일 잔액 = 은행잔액대사_2026-09.xlsx 9/30 장부 잔액 (자금일보 B6:B7과 동일)</t>
        </is>
      </c>
    </row>
    <row r="8">
      <c r="A8" s="6" t="inlineStr">
        <is>
          <t>* 이 시트 값은 원천데이터와 별도로 옮겨 적은 값 → 정확성검증 시트에서 서로 대조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4" customWidth="1" min="4" max="4"/>
    <col width="26" customWidth="1" min="5" max="5"/>
    <col width="14" customWidth="1" min="6" max="6"/>
    <col width="60" customWidth="1" min="7" max="7"/>
  </cols>
  <sheetData>
    <row r="1">
      <c r="A1" s="1" t="inlineStr">
        <is>
          <t>전표번호</t>
        </is>
      </c>
      <c r="B1" s="1" t="inlineStr">
        <is>
          <t>일자</t>
        </is>
      </c>
      <c r="C1" s="1" t="inlineStr">
        <is>
          <t>차변 계정</t>
        </is>
      </c>
      <c r="D1" s="1" t="inlineStr">
        <is>
          <t>차변 금액</t>
        </is>
      </c>
      <c r="E1" s="1" t="inlineStr">
        <is>
          <t>대변 계정</t>
        </is>
      </c>
      <c r="F1" s="1" t="inlineStr">
        <is>
          <t>대변 금액</t>
        </is>
      </c>
      <c r="G1" s="1" t="inlineStr">
        <is>
          <t>적요</t>
        </is>
      </c>
    </row>
    <row r="2">
      <c r="A2" t="inlineStr">
        <is>
          <t>J2609-21</t>
        </is>
      </c>
      <c r="B2" t="inlineStr">
        <is>
          <t>2026-09-30</t>
        </is>
      </c>
      <c r="C2" t="inlineStr">
        <is>
          <t>감가상각비</t>
        </is>
      </c>
      <c r="D2" s="4" t="n">
        <v>4200000</v>
      </c>
      <c r="E2" t="inlineStr">
        <is>
          <t>감가상각누계액</t>
        </is>
      </c>
      <c r="F2" s="4" t="n">
        <v>4200000</v>
      </c>
      <c r="G2" t="inlineStr">
        <is>
          <t>9월 유형자산 감가상각</t>
        </is>
      </c>
    </row>
    <row r="3">
      <c r="A3" t="inlineStr">
        <is>
          <t>J2609-22</t>
        </is>
      </c>
      <c r="B3" t="inlineStr">
        <is>
          <t>2026-09-30</t>
        </is>
      </c>
      <c r="C3" t="inlineStr">
        <is>
          <t>사용권자산상각비</t>
        </is>
      </c>
      <c r="D3" s="4" t="n">
        <v>7341194</v>
      </c>
      <c r="E3" t="inlineStr">
        <is>
          <t>사용권자산상각누계액</t>
        </is>
      </c>
      <c r="F3" s="4" t="n">
        <v>7341194</v>
      </c>
      <c r="G3" t="inlineStr">
        <is>
          <t>물류창고 사용권자산 9월 상각</t>
        </is>
      </c>
    </row>
    <row r="4">
      <c r="A4" t="inlineStr">
        <is>
          <t>J2609-23</t>
        </is>
      </c>
      <c r="B4" t="inlineStr">
        <is>
          <t>2026-09-30</t>
        </is>
      </c>
      <c r="C4" t="inlineStr">
        <is>
          <t>리스부채</t>
        </is>
      </c>
      <c r="D4" s="4" t="n">
        <v>6785939</v>
      </c>
      <c r="E4" t="inlineStr">
        <is>
          <t>보통예금</t>
        </is>
      </c>
      <c r="F4" s="4" t="n">
        <v>8000000</v>
      </c>
      <c r="G4" t="inlineStr">
        <is>
          <t>물류창고 9월 리스료 지급(원금분)</t>
        </is>
      </c>
    </row>
    <row r="5">
      <c r="A5" t="inlineStr">
        <is>
          <t>J2609-23</t>
        </is>
      </c>
      <c r="B5" t="inlineStr">
        <is>
          <t>2026-09-30</t>
        </is>
      </c>
      <c r="C5" t="inlineStr">
        <is>
          <t>이자비용</t>
        </is>
      </c>
      <c r="D5" s="4" t="n">
        <v>1214061</v>
      </c>
      <c r="F5" s="4" t="n"/>
      <c r="G5" t="inlineStr">
        <is>
          <t>물류창고 9월 리스료 지급(이자분)</t>
        </is>
      </c>
    </row>
    <row r="6">
      <c r="A6" t="inlineStr">
        <is>
          <t>J2609-24</t>
        </is>
      </c>
      <c r="B6" t="inlineStr">
        <is>
          <t>2026-09-30</t>
        </is>
      </c>
      <c r="C6" t="inlineStr">
        <is>
          <t>보험료</t>
        </is>
      </c>
      <c r="D6" s="4" t="n">
        <v>850000</v>
      </c>
      <c r="E6" t="inlineStr">
        <is>
          <t>선급비용</t>
        </is>
      </c>
      <c r="F6" s="4" t="n">
        <v>850000</v>
      </c>
      <c r="G6" t="inlineStr">
        <is>
          <t>화재보험 선급분 9월 상각</t>
        </is>
      </c>
    </row>
    <row r="7">
      <c r="A7" t="inlineStr">
        <is>
          <t>J2609-25</t>
        </is>
      </c>
      <c r="B7" t="inlineStr">
        <is>
          <t>2026-09-30</t>
        </is>
      </c>
      <c r="C7" t="inlineStr">
        <is>
          <t>급여</t>
        </is>
      </c>
      <c r="D7" s="4" t="n">
        <v>3100000</v>
      </c>
      <c r="E7" t="inlineStr">
        <is>
          <t>미지급비용</t>
        </is>
      </c>
      <c r="F7" s="4" t="n">
        <v>3100000</v>
      </c>
      <c r="G7" t="inlineStr">
        <is>
          <t>9월 상여 미지급분</t>
        </is>
      </c>
    </row>
    <row r="8">
      <c r="A8" t="inlineStr">
        <is>
          <t>J2609-26</t>
        </is>
      </c>
      <c r="B8" t="inlineStr">
        <is>
          <t>2026-09-30</t>
        </is>
      </c>
      <c r="C8" t="inlineStr">
        <is>
          <t>이자비용</t>
        </is>
      </c>
      <c r="D8" s="4" t="n">
        <v>650000</v>
      </c>
      <c r="E8" t="inlineStr">
        <is>
          <t>미지급비용</t>
        </is>
      </c>
      <c r="F8" s="4" t="n">
        <v>650000</v>
      </c>
      <c r="G8" t="inlineStr">
        <is>
          <t>단기차입금 130,000,000 × 6% ÷ 12, 9월분 미지급</t>
        </is>
      </c>
    </row>
    <row r="9">
      <c r="A9" t="inlineStr">
        <is>
          <t>J2609-31</t>
        </is>
      </c>
      <c r="B9" t="inlineStr">
        <is>
          <t>2026-09-30</t>
        </is>
      </c>
      <c r="C9" t="inlineStr">
        <is>
          <t>손실충당금</t>
        </is>
      </c>
      <c r="D9" s="4" t="n">
        <v>4580000</v>
      </c>
      <c r="E9" t="inlineStr">
        <is>
          <t>손상차손환입(대손충당금환입)</t>
        </is>
      </c>
      <c r="F9" s="4" t="n">
        <v>4580000</v>
      </c>
      <c r="G9" t="inlineStr">
        <is>
          <t>매출채권 9/30 잔액 402,000,000 × 1% = 4,020,000. 장부 8,600,000 → 차액 환입</t>
        </is>
      </c>
    </row>
    <row r="11">
      <c r="A11" s="6" t="inlineStr">
        <is>
          <t>출처: 일반전표/결산전표_2026-09.xlsx 값 그대로 (이 전표에서 사용: J2609-25 상여 미지급 3,100,000 / J2609-26 이자 미지급 650,000)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</cols>
  <sheetData>
    <row r="1">
      <c r="A1" s="1" t="inlineStr">
        <is>
          <t>Code</t>
        </is>
      </c>
      <c r="B1" s="1" t="inlineStr">
        <is>
          <t>계정과목</t>
        </is>
      </c>
    </row>
    <row r="2">
      <c r="A2" t="n">
        <v>103</v>
      </c>
      <c r="B2" t="inlineStr">
        <is>
          <t>보통예금</t>
        </is>
      </c>
    </row>
    <row r="3">
      <c r="A3" t="n">
        <v>108</v>
      </c>
      <c r="B3" t="inlineStr">
        <is>
          <t>외상매출금</t>
        </is>
      </c>
    </row>
    <row r="4">
      <c r="A4" t="n">
        <v>251</v>
      </c>
      <c r="B4" t="inlineStr">
        <is>
          <t>외상매입금</t>
        </is>
      </c>
    </row>
    <row r="5">
      <c r="A5" t="n">
        <v>253</v>
      </c>
      <c r="B5" t="inlineStr">
        <is>
          <t>미지급금</t>
        </is>
      </c>
    </row>
    <row r="6">
      <c r="A6" t="n">
        <v>254</v>
      </c>
      <c r="B6" t="inlineStr">
        <is>
          <t>예수금</t>
        </is>
      </c>
    </row>
    <row r="7">
      <c r="A7" t="n">
        <v>260</v>
      </c>
      <c r="B7" t="inlineStr">
        <is>
          <t>단기차입금</t>
        </is>
      </c>
    </row>
    <row r="8">
      <c r="A8" t="n">
        <v>262</v>
      </c>
      <c r="B8" t="inlineStr">
        <is>
          <t>미지급비용</t>
        </is>
      </c>
    </row>
    <row r="9">
      <c r="A9" t="n">
        <v>803</v>
      </c>
      <c r="B9" t="inlineStr">
        <is>
          <t>상여금</t>
        </is>
      </c>
    </row>
    <row r="10">
      <c r="A10" t="n">
        <v>824</v>
      </c>
      <c r="B10" t="inlineStr">
        <is>
          <t>운반비</t>
        </is>
      </c>
    </row>
    <row r="11">
      <c r="A11" t="n">
        <v>951</v>
      </c>
      <c r="B11" t="inlineStr">
        <is>
          <t>이자비용</t>
        </is>
      </c>
    </row>
    <row r="13">
      <c r="A13" s="6" t="inlineStr">
        <is>
          <t>출처: 일반전표/계정과목표.xlsx 값 그대로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</cols>
  <sheetData>
    <row r="1">
      <c r="A1" s="1" t="inlineStr">
        <is>
          <t>거래처코드</t>
        </is>
      </c>
      <c r="B1" s="1" t="inlineStr">
        <is>
          <t>거래처</t>
        </is>
      </c>
    </row>
    <row r="2">
      <c r="A2" s="12" t="inlineStr">
        <is>
          <t>00101</t>
        </is>
      </c>
      <c r="B2" t="inlineStr">
        <is>
          <t>한가람유통(주)</t>
        </is>
      </c>
    </row>
    <row r="3">
      <c r="A3" s="12" t="inlineStr">
        <is>
          <t>00102</t>
        </is>
      </c>
      <c r="B3" t="inlineStr">
        <is>
          <t>그린마트(주)</t>
        </is>
      </c>
    </row>
    <row r="4">
      <c r="A4" s="12" t="inlineStr">
        <is>
          <t>00103</t>
        </is>
      </c>
      <c r="B4" t="inlineStr">
        <is>
          <t>(주)세움건설 복지몰</t>
        </is>
      </c>
    </row>
    <row r="5">
      <c r="A5" s="12" t="inlineStr">
        <is>
          <t>00104</t>
        </is>
      </c>
      <c r="B5" t="inlineStr">
        <is>
          <t>미래보험(주) 사내몰</t>
        </is>
      </c>
    </row>
    <row r="6">
      <c r="A6" s="12" t="inlineStr">
        <is>
          <t>00105</t>
        </is>
      </c>
      <c r="B6" t="inlineStr">
        <is>
          <t>온라인몰 카드결제 정산</t>
        </is>
      </c>
    </row>
    <row r="7">
      <c r="A7" s="12" t="inlineStr">
        <is>
          <t>00106</t>
        </is>
      </c>
      <c r="B7" t="inlineStr">
        <is>
          <t>(주)리빙플러스</t>
        </is>
      </c>
    </row>
    <row r="8">
      <c r="A8" s="12" t="inlineStr">
        <is>
          <t>00201</t>
        </is>
      </c>
      <c r="B8" t="inlineStr">
        <is>
          <t>매입처V01</t>
        </is>
      </c>
    </row>
    <row r="9">
      <c r="A9" s="12" t="inlineStr">
        <is>
          <t>00202</t>
        </is>
      </c>
      <c r="B9" t="inlineStr">
        <is>
          <t>매입처V02</t>
        </is>
      </c>
    </row>
    <row r="10">
      <c r="A10" s="12" t="inlineStr">
        <is>
          <t>00203</t>
        </is>
      </c>
      <c r="B10" t="inlineStr">
        <is>
          <t>매입처V03</t>
        </is>
      </c>
    </row>
    <row r="11">
      <c r="A11" s="12" t="inlineStr">
        <is>
          <t>00204</t>
        </is>
      </c>
      <c r="B11" t="inlineStr">
        <is>
          <t>매입처V04</t>
        </is>
      </c>
    </row>
    <row r="12">
      <c r="A12" s="12" t="inlineStr">
        <is>
          <t>00205</t>
        </is>
      </c>
      <c r="B12" t="inlineStr">
        <is>
          <t>매입처V05</t>
        </is>
      </c>
    </row>
    <row r="13">
      <c r="A13" s="12" t="inlineStr">
        <is>
          <t>00206</t>
        </is>
      </c>
      <c r="B13" t="inlineStr">
        <is>
          <t>매입처V06</t>
        </is>
      </c>
    </row>
    <row r="14">
      <c r="A14" s="12" t="inlineStr">
        <is>
          <t>00301</t>
        </is>
      </c>
      <c r="B14" t="inlineStr">
        <is>
          <t>택배사T01</t>
        </is>
      </c>
    </row>
    <row r="15">
      <c r="A15" s="12" t="inlineStr">
        <is>
          <t>00302</t>
        </is>
      </c>
      <c r="B15" t="inlineStr">
        <is>
          <t>해외매입처F01</t>
        </is>
      </c>
    </row>
    <row r="16">
      <c r="A16" s="12" t="inlineStr">
        <is>
          <t>00303</t>
        </is>
      </c>
      <c r="B16" t="inlineStr">
        <is>
          <t>(주)용인로지스부동산</t>
        </is>
      </c>
    </row>
    <row r="17">
      <c r="A17" s="12" t="inlineStr">
        <is>
          <t>00304</t>
        </is>
      </c>
      <c r="B17" t="inlineStr">
        <is>
          <t>광고매체A01</t>
        </is>
      </c>
    </row>
    <row r="18">
      <c r="A18" s="12" t="inlineStr">
        <is>
          <t>00305</t>
        </is>
      </c>
      <c r="B18" t="inlineStr">
        <is>
          <t>광고매체A02</t>
        </is>
      </c>
    </row>
    <row r="19">
      <c r="A19" s="12" t="inlineStr">
        <is>
          <t>98001</t>
        </is>
      </c>
      <c r="B19" t="inlineStr">
        <is>
          <t>국민은행 업무용</t>
        </is>
      </c>
    </row>
    <row r="20">
      <c r="A20" s="12" t="inlineStr">
        <is>
          <t>98002</t>
        </is>
      </c>
      <c r="B20" t="inlineStr">
        <is>
          <t>신한은행 급여</t>
        </is>
      </c>
    </row>
    <row r="22">
      <c r="A22" s="6" t="inlineStr">
        <is>
          <t>출처: 일반전표/거래처목록.xlsx 값 그대로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18" customWidth="1" min="3" max="3"/>
    <col width="18" customWidth="1" min="4" max="4"/>
    <col width="14" customWidth="1" min="5" max="5"/>
    <col width="10" customWidth="1" min="6" max="6"/>
  </cols>
  <sheetData>
    <row r="1">
      <c r="A1" s="1" t="inlineStr">
        <is>
          <t>번호</t>
        </is>
      </c>
      <c r="B1" s="1" t="inlineStr">
        <is>
          <t>검증 항목</t>
        </is>
      </c>
      <c r="C1" s="1" t="inlineStr">
        <is>
          <t>왼쪽 값</t>
        </is>
      </c>
      <c r="D1" s="1" t="inlineStr">
        <is>
          <t>오른쪽 값</t>
        </is>
      </c>
      <c r="E1" s="1" t="inlineStr">
        <is>
          <t>차이</t>
        </is>
      </c>
      <c r="F1" s="1" t="inlineStr">
        <is>
          <t>결과</t>
        </is>
      </c>
    </row>
    <row r="2">
      <c r="A2" t="n">
        <v>1</v>
      </c>
      <c r="B2" t="inlineStr">
        <is>
          <t>원천 국민 입금합계 = 자금일보 국민 입금</t>
        </is>
      </c>
      <c r="C2" s="4">
        <f>SUM(원천데이터!E4:E9)</f>
        <v/>
      </c>
      <c r="D2" s="4">
        <f>자금일보값!C2</f>
        <v/>
      </c>
      <c r="E2" s="4">
        <f>C2-D2</f>
        <v/>
      </c>
      <c r="F2">
        <f>IF(ABS(E2)&lt;0.5,"PASS","FAIL")</f>
        <v/>
      </c>
    </row>
    <row r="3">
      <c r="A3" t="n">
        <v>2</v>
      </c>
      <c r="B3" t="inlineStr">
        <is>
          <t>원천 국민 출금합계 = 자금일보 국민 출금</t>
        </is>
      </c>
      <c r="C3" s="4">
        <f>SUM(원천데이터!F4:F9)</f>
        <v/>
      </c>
      <c r="D3" s="4">
        <f>자금일보값!D2</f>
        <v/>
      </c>
      <c r="E3" s="4">
        <f>C3-D3</f>
        <v/>
      </c>
      <c r="F3">
        <f>IF(ABS(E3)&lt;0.5,"PASS","FAIL")</f>
        <v/>
      </c>
    </row>
    <row r="4">
      <c r="A4" t="n">
        <v>3</v>
      </c>
      <c r="B4" t="inlineStr">
        <is>
          <t>원천 신한 입금합계 = 자금일보 신한 입금</t>
        </is>
      </c>
      <c r="C4" s="4">
        <f>SUM(원천데이터!F14:F15)</f>
        <v/>
      </c>
      <c r="D4" s="4">
        <f>자금일보값!C3</f>
        <v/>
      </c>
      <c r="E4" s="4">
        <f>C4-D4</f>
        <v/>
      </c>
      <c r="F4">
        <f>IF(ABS(E4)&lt;0.5,"PASS","FAIL")</f>
        <v/>
      </c>
    </row>
    <row r="5">
      <c r="A5" t="n">
        <v>4</v>
      </c>
      <c r="B5" t="inlineStr">
        <is>
          <t>원천 신한 출금합계 = 자금일보 신한 출금</t>
        </is>
      </c>
      <c r="C5" s="4">
        <f>SUM(원천데이터!E14:E15)</f>
        <v/>
      </c>
      <c r="D5" s="4">
        <f>자금일보값!D3</f>
        <v/>
      </c>
      <c r="E5" s="4">
        <f>C5-D5</f>
        <v/>
      </c>
      <c r="F5">
        <f>IF(ABS(E5)&lt;0.5,"PASS","FAIL")</f>
        <v/>
      </c>
    </row>
    <row r="6">
      <c r="A6" t="n">
        <v>5</v>
      </c>
      <c r="B6" t="inlineStr">
        <is>
          <t>국민: 전일잔액 + 원천 입금 − 출금 = 마지막 거래후잔액</t>
        </is>
      </c>
      <c r="C6" s="4">
        <f>자금일보값!B2+SUM(원천데이터!E4:E9)-SUM(원천데이터!F4:F9)</f>
        <v/>
      </c>
      <c r="D6" s="4">
        <f>원천데이터!G9</f>
        <v/>
      </c>
      <c r="E6" s="4">
        <f>C6-D6</f>
        <v/>
      </c>
      <c r="F6">
        <f>IF(ABS(E6)&lt;0.5,"PASS","FAIL")</f>
        <v/>
      </c>
    </row>
    <row r="7">
      <c r="A7" t="n">
        <v>6</v>
      </c>
      <c r="B7" t="inlineStr">
        <is>
          <t>신한: 전일잔액 + 원천 입금 − 출금 = 마지막 거래후잔액</t>
        </is>
      </c>
      <c r="C7" s="4">
        <f>자금일보값!B3+SUM(원천데이터!F14:F15)-SUM(원천데이터!E14:E15)</f>
        <v/>
      </c>
      <c r="D7" s="4">
        <f>원천데이터!G15</f>
        <v/>
      </c>
      <c r="E7" s="4">
        <f>C7-D7</f>
        <v/>
      </c>
      <c r="F7">
        <f>IF(ABS(E7)&lt;0.5,"PASS","FAIL")</f>
        <v/>
      </c>
    </row>
    <row r="8">
      <c r="A8" t="n">
        <v>7</v>
      </c>
      <c r="B8" t="inlineStr">
        <is>
          <t>원천 거래별 잔액 연속성 오류 건수 = 0</t>
        </is>
      </c>
      <c r="C8" s="4">
        <f>COUNTIF(원천데이터!L4:L9,"ERR")+COUNTIF(원천데이터!L14:L15,"ERR")</f>
        <v/>
      </c>
      <c r="D8" s="4">
        <f>0</f>
        <v/>
      </c>
      <c r="E8" s="4">
        <f>C8-D8</f>
        <v/>
      </c>
      <c r="F8">
        <f>IF(ABS(E8)&lt;0.5,"PASS","FAIL")</f>
        <v/>
      </c>
    </row>
    <row r="9">
      <c r="A9" t="n">
        <v>8</v>
      </c>
      <c r="B9" t="inlineStr">
        <is>
          <t>보통예금(103) 차변 = 원천 입금 합계(두 계좌)</t>
        </is>
      </c>
      <c r="C9" s="4">
        <f>SUMIFS(일반전표!G2:G200,일반전표!E2:E200,103)</f>
        <v/>
      </c>
      <c r="D9" s="4">
        <f>SUM(원천데이터!E4:E9)+SUM(원천데이터!F14:F15)</f>
        <v/>
      </c>
      <c r="E9" s="4">
        <f>C9-D9</f>
        <v/>
      </c>
      <c r="F9">
        <f>IF(ABS(E9)&lt;0.5,"PASS","FAIL")</f>
        <v/>
      </c>
    </row>
    <row r="10">
      <c r="A10" t="n">
        <v>9</v>
      </c>
      <c r="B10" t="inlineStr">
        <is>
          <t>보통예금(103) 대변 = 원천 출금 합계(두 계좌)</t>
        </is>
      </c>
      <c r="C10" s="4">
        <f>SUMIFS(일반전표!H2:H200,일반전표!E2:E200,103)</f>
        <v/>
      </c>
      <c r="D10" s="4">
        <f>SUM(원천데이터!F4:F9)+SUM(원천데이터!E14:E15)</f>
        <v/>
      </c>
      <c r="E10" s="4">
        <f>C10-D10</f>
        <v/>
      </c>
      <c r="F10">
        <f>IF(ABS(E10)&lt;0.5,"PASS","FAIL")</f>
        <v/>
      </c>
    </row>
    <row r="11">
      <c r="A11" t="n">
        <v>10</v>
      </c>
      <c r="B11" t="inlineStr">
        <is>
          <t>국민(98001) 보통예금 차변−대변 = 원천 입금−출금</t>
        </is>
      </c>
      <c r="C11" s="4">
        <f>SUMIFS(일반전표!G2:G200,일반전표!E2:E200,103,일반전표!I2:I200,"98001")-SUMIFS(일반전표!H2:H200,일반전표!E2:E200,103,일반전표!I2:I200,"98001")</f>
        <v/>
      </c>
      <c r="D11" s="4">
        <f>SUM(원천데이터!E4:E9)-SUM(원천데이터!F4:F9)</f>
        <v/>
      </c>
      <c r="E11" s="4">
        <f>C11-D11</f>
        <v/>
      </c>
      <c r="F11">
        <f>IF(ABS(E11)&lt;0.5,"PASS","FAIL")</f>
        <v/>
      </c>
    </row>
    <row r="12">
      <c r="A12" t="n">
        <v>11</v>
      </c>
      <c r="B12" t="inlineStr">
        <is>
          <t>신한(98002) 보통예금 차변−대변 = 원천 입금−출금</t>
        </is>
      </c>
      <c r="C12" s="4">
        <f>SUMIFS(일반전표!G2:G200,일반전표!E2:E200,103,일반전표!I2:I200,"98002")-SUMIFS(일반전표!H2:H200,일반전표!E2:E200,103,일반전표!I2:I200,"98002")</f>
        <v/>
      </c>
      <c r="D12" s="4">
        <f>SUM(원천데이터!F14:F15)-SUM(원천데이터!E14:E15)</f>
        <v/>
      </c>
      <c r="E12" s="4">
        <f>C12-D12</f>
        <v/>
      </c>
      <c r="F12">
        <f>IF(ABS(E12)&lt;0.5,"PASS","FAIL")</f>
        <v/>
      </c>
    </row>
    <row r="13">
      <c r="A13" t="n">
        <v>12</v>
      </c>
      <c r="B13" t="inlineStr">
        <is>
          <t>계좌간이체: 국민 출금(원천 F6) = 신한 입금(원천 F14)</t>
        </is>
      </c>
      <c r="C13" s="4">
        <f>원천데이터!F6</f>
        <v/>
      </c>
      <c r="D13" s="4">
        <f>원천데이터!F14</f>
        <v/>
      </c>
      <c r="E13" s="4">
        <f>C13-D13</f>
        <v/>
      </c>
      <c r="F13">
        <f>IF(ABS(E13)&lt;0.5,"PASS","FAIL")</f>
        <v/>
      </c>
    </row>
    <row r="14">
      <c r="A14" t="n">
        <v>13</v>
      </c>
      <c r="B14" t="inlineStr">
        <is>
          <t>외상매출금(108) 대변 = 실제 입금(원천 입금합계 − 계좌간이체)</t>
        </is>
      </c>
      <c r="C14" s="4">
        <f>SUMIFS(일반전표!H2:H200,일반전표!E2:E200,108)</f>
        <v/>
      </c>
      <c r="D14" s="4">
        <f>SUM(원천데이터!E4:E9)+SUM(원천데이터!F14:F15)-원천데이터!F14</f>
        <v/>
      </c>
      <c r="E14" s="4">
        <f>C14-D14</f>
        <v/>
      </c>
      <c r="F14">
        <f>IF(ABS(E14)&lt;0.5,"PASS","FAIL")</f>
        <v/>
      </c>
    </row>
    <row r="15">
      <c r="A15" t="n">
        <v>14</v>
      </c>
      <c r="B15" t="inlineStr">
        <is>
          <t>대출이자 미지급비용 차변 = 결산전표 J2609-26 금액</t>
        </is>
      </c>
      <c r="C15" s="4">
        <f>일반전표!G2</f>
        <v/>
      </c>
      <c r="D15" s="4">
        <f>결산전표_9월!D8</f>
        <v/>
      </c>
      <c r="E15" s="4">
        <f>C15-D15</f>
        <v/>
      </c>
      <c r="F15">
        <f>IF(ABS(E15)&lt;0.5,"PASS","FAIL")</f>
        <v/>
      </c>
    </row>
    <row r="16">
      <c r="A16" t="n">
        <v>15</v>
      </c>
      <c r="B16" t="inlineStr">
        <is>
          <t>상여 미지급비용 차변 = 결산전표 J2609-25 금액</t>
        </is>
      </c>
      <c r="C16" s="4">
        <f>일반전표!G14</f>
        <v/>
      </c>
      <c r="D16" s="4">
        <f>결산전표_9월!D7</f>
        <v/>
      </c>
      <c r="E16" s="4">
        <f>C16-D16</f>
        <v/>
      </c>
      <c r="F16">
        <f>IF(ABS(E16)&lt;0.5,"PASS","FAIL")</f>
        <v/>
      </c>
    </row>
    <row r="17">
      <c r="A17" t="n">
        <v>16</v>
      </c>
      <c r="B17" t="inlineStr">
        <is>
          <t>차변 합계 = 대변 합계 (전표 전체)</t>
        </is>
      </c>
      <c r="C17" s="4">
        <f>SUM(일반전표!G2:G200)</f>
        <v/>
      </c>
      <c r="D17" s="4">
        <f>SUM(일반전표!H2:H200)</f>
        <v/>
      </c>
      <c r="E17" s="4">
        <f>C17-D17</f>
        <v/>
      </c>
      <c r="F17">
        <f>IF(ABS(E17)&lt;0.5,"PASS","FAIL")</f>
        <v/>
      </c>
    </row>
    <row r="18">
      <c r="B18" s="5" t="inlineStr">
        <is>
          <t>전체 결과</t>
        </is>
      </c>
      <c r="F18" s="5">
        <f>IF(COUNTIF(F2:F17,"PASS")=16,"PASS","FAIL")</f>
        <v/>
      </c>
    </row>
    <row r="20">
      <c r="B20" s="6" t="inlineStr">
        <is>
          <t>PASS는 원천 데이터와 전표 숫자가 맞는다는 뜻입니다. 계정 선택(운반비/미지급금 등)과 예수금 금액은 일반전표 시트의 빨간색 확인필요 항목으로 따로 확인합니다.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다온생활 재무팀</dc:creator>
  <dcterms:created xsi:type="dcterms:W3CDTF">2026-10-29T00:12:19Z</dcterms:created>
  <dcterms:modified xsi:type="dcterms:W3CDTF">2026-10-29T05:58:17Z</dcterms:modified>
  <cp:lastModifiedBy>다온생활 재무팀</cp:lastModifiedBy>
</cp:coreProperties>
</file>