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  <sheet xmlns:r="http://schemas.openxmlformats.org/officeDocument/2006/relationships" name="입출금 내역" sheetId="2" state="visible" r:id="rId2"/>
    <sheet xmlns:r="http://schemas.openxmlformats.org/officeDocument/2006/relationships" name="검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</font>
    <font>
      <b val="1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DDE3EA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4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7" customWidth="1" min="8" max="8"/>
    <col width="12" customWidth="1" min="9" max="9"/>
  </cols>
  <sheetData>
    <row r="1">
      <c r="A1" s="1" t="inlineStr">
        <is>
          <t>자금일보</t>
        </is>
      </c>
    </row>
    <row r="2">
      <c r="A2" s="2" t="inlineStr">
        <is>
          <t>(주)다온생활 · 단위: 원 · 노란 칸에 입력</t>
        </is>
      </c>
    </row>
    <row r="3">
      <c r="A3" t="inlineStr">
        <is>
          <t>일자</t>
        </is>
      </c>
      <c r="B3" s="9" t="n">
        <v>46296</v>
      </c>
      <c r="D3" t="inlineStr">
        <is>
          <t>작성자</t>
        </is>
      </c>
      <c r="E3" s="3" t="n"/>
      <c r="F3" t="inlineStr">
        <is>
          <t>확인자</t>
        </is>
      </c>
      <c r="G3" s="3" t="n"/>
    </row>
    <row r="5">
      <c r="A5" s="4" t="inlineStr">
        <is>
          <t>계좌</t>
        </is>
      </c>
      <c r="B5" s="4" t="inlineStr">
        <is>
          <t>전일 잔액</t>
        </is>
      </c>
      <c r="C5" s="4" t="inlineStr">
        <is>
          <t>입금</t>
        </is>
      </c>
      <c r="D5" s="4" t="inlineStr">
        <is>
          <t>출금</t>
        </is>
      </c>
      <c r="E5" s="4" t="inlineStr">
        <is>
          <t>금일 잔액</t>
        </is>
      </c>
      <c r="F5" s="4" t="inlineStr">
        <is>
          <t>월누계 입금</t>
        </is>
      </c>
      <c r="G5" s="4" t="inlineStr">
        <is>
          <t>월누계 출금</t>
        </is>
      </c>
      <c r="H5" s="4" t="inlineStr">
        <is>
          <t>은행 조회 잔액</t>
        </is>
      </c>
      <c r="I5" s="4" t="inlineStr">
        <is>
          <t>차이</t>
        </is>
      </c>
    </row>
    <row r="6">
      <c r="A6" t="inlineStr">
        <is>
          <t>국민 업무용</t>
        </is>
      </c>
      <c r="B6" s="5" t="n">
        <v>812440310</v>
      </c>
      <c r="C6" s="5" t="n">
        <v>61510000</v>
      </c>
      <c r="D6" s="5" t="n">
        <v>36832610</v>
      </c>
      <c r="E6" s="6">
        <f>B6+C6-D6</f>
        <v/>
      </c>
      <c r="F6" s="5" t="n">
        <v>61510000</v>
      </c>
      <c r="G6" s="5" t="n">
        <v>36832610</v>
      </c>
      <c r="H6" s="5" t="n">
        <v>837117700</v>
      </c>
      <c r="I6" s="6">
        <f>H6-E6</f>
        <v/>
      </c>
    </row>
    <row r="7">
      <c r="A7" t="inlineStr">
        <is>
          <t>신한 급여</t>
        </is>
      </c>
      <c r="B7" s="5" t="n">
        <v>35210000</v>
      </c>
      <c r="C7" s="5" t="n">
        <v>3100000</v>
      </c>
      <c r="D7" s="5" t="n">
        <v>2817900</v>
      </c>
      <c r="E7" s="6">
        <f>B7+C7-D7</f>
        <v/>
      </c>
      <c r="F7" s="5" t="n">
        <v>3100000</v>
      </c>
      <c r="G7" s="5" t="n">
        <v>2817900</v>
      </c>
      <c r="H7" s="5" t="n">
        <v>35492100</v>
      </c>
      <c r="I7" s="6">
        <f>H7-E7</f>
        <v/>
      </c>
    </row>
    <row r="8">
      <c r="A8" s="7" t="inlineStr">
        <is>
          <t>합계</t>
        </is>
      </c>
      <c r="B8" s="8">
        <f>SUM(B6:B7)</f>
        <v/>
      </c>
      <c r="C8" s="8">
        <f>SUM(C6:C7)</f>
        <v/>
      </c>
      <c r="D8" s="8">
        <f>SUM(D6:D7)</f>
        <v/>
      </c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</row>
    <row r="10">
      <c r="A10" s="7" t="inlineStr">
        <is>
          <t>계좌간이체</t>
        </is>
      </c>
    </row>
    <row r="11">
      <c r="A11" s="4" t="inlineStr">
        <is>
          <t>출금 계좌</t>
        </is>
      </c>
      <c r="B11" s="4" t="inlineStr">
        <is>
          <t>입금 계좌</t>
        </is>
      </c>
      <c r="C11" s="4" t="inlineStr">
        <is>
          <t>금액</t>
        </is>
      </c>
      <c r="D11" s="4" t="inlineStr">
        <is>
          <t>출금 쪽 적요</t>
        </is>
      </c>
      <c r="E11" s="4" t="inlineStr">
        <is>
          <t>입금 쪽 적요</t>
        </is>
      </c>
    </row>
    <row r="12">
      <c r="A12" s="3" t="inlineStr">
        <is>
          <t>국민 업무용</t>
        </is>
      </c>
      <c r="B12" s="3" t="inlineStr">
        <is>
          <t>신한 급여</t>
        </is>
      </c>
      <c r="C12" s="5" t="n">
        <v>3100000</v>
      </c>
      <c r="D12" s="3" t="inlineStr">
        <is>
          <t>(주)다온생활</t>
        </is>
      </c>
      <c r="E12" s="3" t="inlineStr">
        <is>
          <t>타행입금</t>
        </is>
      </c>
    </row>
    <row r="13">
      <c r="A13" s="3" t="n"/>
      <c r="B13" s="3" t="n"/>
      <c r="C13" s="5" t="n"/>
      <c r="D13" s="3" t="n"/>
      <c r="E13" s="3" t="n"/>
    </row>
    <row r="14">
      <c r="A14" s="3" t="n"/>
      <c r="B14" s="3" t="n"/>
      <c r="C14" s="5" t="n"/>
      <c r="D14" s="3" t="n"/>
      <c r="E14" s="3" t="n"/>
    </row>
    <row r="15">
      <c r="A15" s="7" t="inlineStr">
        <is>
          <t>이체 합계</t>
        </is>
      </c>
      <c r="C15" s="6">
        <f>SUM(C12:C14)</f>
        <v/>
      </c>
    </row>
    <row r="17">
      <c r="A17" s="7" t="inlineStr">
        <is>
          <t>회사 전체 실제 입출금</t>
        </is>
      </c>
    </row>
    <row r="18">
      <c r="A18" s="4" t="inlineStr">
        <is>
          <t>구분</t>
        </is>
      </c>
      <c r="B18" s="4" t="inlineStr">
        <is>
          <t>계좌 합계</t>
        </is>
      </c>
      <c r="C18" s="4" t="inlineStr">
        <is>
          <t>계좌간이체</t>
        </is>
      </c>
      <c r="D18" s="4" t="inlineStr">
        <is>
          <t>실제 금액</t>
        </is>
      </c>
    </row>
    <row r="19">
      <c r="A19" t="inlineStr">
        <is>
          <t>입금</t>
        </is>
      </c>
      <c r="B19" s="6">
        <f>C8</f>
        <v/>
      </c>
      <c r="C19" s="6">
        <f>C15</f>
        <v/>
      </c>
      <c r="D19" s="6">
        <f>B19-C19</f>
        <v/>
      </c>
    </row>
    <row r="20">
      <c r="A20" t="inlineStr">
        <is>
          <t>출금</t>
        </is>
      </c>
      <c r="B20" s="6">
        <f>D8</f>
        <v/>
      </c>
      <c r="C20" s="6">
        <f>C15</f>
        <v/>
      </c>
      <c r="D20" s="6">
        <f>B20-C20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40" customWidth="1" min="4" max="4"/>
    <col width="15" customWidth="1" min="5" max="5"/>
    <col width="15" customWidth="1" min="6" max="6"/>
    <col width="14" customWidth="1" min="7" max="7"/>
  </cols>
  <sheetData>
    <row r="1">
      <c r="A1" s="4" t="inlineStr">
        <is>
          <t>계좌</t>
        </is>
      </c>
      <c r="B1" s="4" t="inlineStr">
        <is>
          <t>시각</t>
        </is>
      </c>
      <c r="C1" s="4" t="inlineStr">
        <is>
          <t>구분</t>
        </is>
      </c>
      <c r="D1" s="4" t="inlineStr">
        <is>
          <t>거래처·내용</t>
        </is>
      </c>
      <c r="E1" s="4" t="inlineStr">
        <is>
          <t>입금</t>
        </is>
      </c>
      <c r="F1" s="4" t="inlineStr">
        <is>
          <t>출금</t>
        </is>
      </c>
      <c r="G1" s="4" t="inlineStr">
        <is>
          <t>계좌간이체 여부</t>
        </is>
      </c>
    </row>
    <row r="2">
      <c r="A2" s="3" t="inlineStr">
        <is>
          <t>국민 업무용</t>
        </is>
      </c>
      <c r="B2" s="3" t="inlineStr">
        <is>
          <t>09:05:37</t>
        </is>
      </c>
      <c r="C2" s="3" t="inlineStr">
        <is>
          <t>대체</t>
        </is>
      </c>
      <c r="D2" s="3" t="inlineStr">
        <is>
          <t>대출이자</t>
        </is>
      </c>
      <c r="E2" s="5" t="n"/>
      <c r="F2" s="5" t="n">
        <v>650000</v>
      </c>
      <c r="G2" s="3" t="inlineStr">
        <is>
          <t>아니오</t>
        </is>
      </c>
    </row>
    <row r="3">
      <c r="A3" s="3" t="inlineStr">
        <is>
          <t>국민 업무용</t>
        </is>
      </c>
      <c r="B3" s="3" t="inlineStr">
        <is>
          <t>10:17:23</t>
        </is>
      </c>
      <c r="C3" s="3" t="inlineStr">
        <is>
          <t>타행이체</t>
        </is>
      </c>
      <c r="D3" s="3" t="inlineStr">
        <is>
          <t>한가람유통(주)</t>
        </is>
      </c>
      <c r="E3" s="5" t="n">
        <v>58410000</v>
      </c>
      <c r="F3" s="5" t="n"/>
      <c r="G3" s="3" t="inlineStr">
        <is>
          <t>아니오</t>
        </is>
      </c>
    </row>
    <row r="4">
      <c r="A4" s="3" t="inlineStr">
        <is>
          <t>신한 급여</t>
        </is>
      </c>
      <c r="B4" s="3" t="inlineStr">
        <is>
          <t>11:02:00</t>
        </is>
      </c>
      <c r="C4" s="3" t="inlineStr">
        <is>
          <t>타행입금</t>
        </is>
      </c>
      <c r="D4" s="3" t="inlineStr">
        <is>
          <t>(주)다온생활</t>
        </is>
      </c>
      <c r="E4" s="5" t="n">
        <v>3100000</v>
      </c>
      <c r="F4" s="5" t="n"/>
      <c r="G4" s="3" t="inlineStr">
        <is>
          <t>예</t>
        </is>
      </c>
    </row>
    <row r="5">
      <c r="A5" s="3" t="inlineStr">
        <is>
          <t>국민 업무용</t>
        </is>
      </c>
      <c r="B5" s="3" t="inlineStr">
        <is>
          <t>11:02:20</t>
        </is>
      </c>
      <c r="C5" s="3" t="inlineStr">
        <is>
          <t>타행송금</t>
        </is>
      </c>
      <c r="D5" s="3" t="inlineStr">
        <is>
          <t>(주)다온생활</t>
        </is>
      </c>
      <c r="E5" s="5" t="n"/>
      <c r="F5" s="5" t="n">
        <v>3100000</v>
      </c>
      <c r="G5" s="3" t="inlineStr">
        <is>
          <t>예</t>
        </is>
      </c>
    </row>
    <row r="6">
      <c r="A6" s="3" t="inlineStr">
        <is>
          <t>국민 업무용</t>
        </is>
      </c>
      <c r="B6" s="3" t="inlineStr">
        <is>
          <t>11:09:30</t>
        </is>
      </c>
      <c r="C6" s="3" t="inlineStr">
        <is>
          <t>타행이체</t>
        </is>
      </c>
      <c r="D6" s="3" t="inlineStr">
        <is>
          <t>미래보험(주) 사내몰</t>
        </is>
      </c>
      <c r="E6" s="5" t="n">
        <v>3100000</v>
      </c>
      <c r="F6" s="5" t="n"/>
      <c r="G6" s="3" t="inlineStr">
        <is>
          <t>아니오</t>
        </is>
      </c>
    </row>
    <row r="7">
      <c r="A7" s="3" t="inlineStr">
        <is>
          <t>국민 업무용</t>
        </is>
      </c>
      <c r="B7" s="3" t="inlineStr">
        <is>
          <t>14:26:15</t>
        </is>
      </c>
      <c r="C7" s="3" t="inlineStr">
        <is>
          <t>타행송금</t>
        </is>
      </c>
      <c r="D7" s="3" t="inlineStr">
        <is>
          <t>매입처V03</t>
        </is>
      </c>
      <c r="E7" s="5" t="n"/>
      <c r="F7" s="5" t="n">
        <v>27280000</v>
      </c>
      <c r="G7" s="3" t="inlineStr">
        <is>
          <t>아니오</t>
        </is>
      </c>
    </row>
    <row r="8">
      <c r="A8" s="3" t="inlineStr">
        <is>
          <t>국민 업무용</t>
        </is>
      </c>
      <c r="B8" s="3" t="inlineStr">
        <is>
          <t>15:48:43</t>
        </is>
      </c>
      <c r="C8" s="3" t="inlineStr">
        <is>
          <t>타행송금</t>
        </is>
      </c>
      <c r="D8" s="3" t="inlineStr">
        <is>
          <t>택배사T01</t>
        </is>
      </c>
      <c r="E8" s="5" t="n"/>
      <c r="F8" s="5" t="n">
        <v>5802610</v>
      </c>
      <c r="G8" s="3" t="inlineStr">
        <is>
          <t>아니오</t>
        </is>
      </c>
    </row>
    <row r="9">
      <c r="A9" s="3" t="inlineStr">
        <is>
          <t>신한 급여</t>
        </is>
      </c>
      <c r="B9" s="3" t="inlineStr">
        <is>
          <t>16:00:00</t>
        </is>
      </c>
      <c r="C9" s="3" t="inlineStr">
        <is>
          <t>대량이체</t>
        </is>
      </c>
      <c r="D9" s="3" t="inlineStr">
        <is>
          <t>9월 상여</t>
        </is>
      </c>
      <c r="E9" s="5" t="n"/>
      <c r="F9" s="5" t="n">
        <v>2817900</v>
      </c>
      <c r="G9" s="3" t="inlineStr">
        <is>
          <t>아니오</t>
        </is>
      </c>
    </row>
    <row r="10">
      <c r="A10" s="3" t="n"/>
      <c r="B10" s="3" t="n"/>
      <c r="C10" s="3" t="n"/>
      <c r="D10" s="3" t="n"/>
      <c r="E10" s="5" t="n"/>
      <c r="F10" s="5" t="n"/>
      <c r="G10" s="3" t="n"/>
    </row>
    <row r="11">
      <c r="A11" s="3" t="n"/>
      <c r="B11" s="3" t="n"/>
      <c r="C11" s="3" t="n"/>
      <c r="D11" s="3" t="n"/>
      <c r="E11" s="5" t="n"/>
      <c r="F11" s="5" t="n"/>
      <c r="G11" s="3" t="n"/>
    </row>
    <row r="12">
      <c r="A12" s="3" t="n"/>
      <c r="B12" s="3" t="n"/>
      <c r="C12" s="3" t="n"/>
      <c r="D12" s="3" t="n"/>
      <c r="E12" s="5" t="n"/>
      <c r="F12" s="5" t="n"/>
      <c r="G12" s="3" t="n"/>
    </row>
    <row r="13">
      <c r="A13" s="3" t="n"/>
      <c r="B13" s="3" t="n"/>
      <c r="C13" s="3" t="n"/>
      <c r="D13" s="3" t="n"/>
      <c r="E13" s="5" t="n"/>
      <c r="F13" s="5" t="n"/>
      <c r="G13" s="3" t="n"/>
    </row>
    <row r="14">
      <c r="A14" s="3" t="n"/>
      <c r="B14" s="3" t="n"/>
      <c r="C14" s="3" t="n"/>
      <c r="D14" s="3" t="n"/>
      <c r="E14" s="5" t="n"/>
      <c r="F14" s="5" t="n"/>
      <c r="G14" s="3" t="n"/>
    </row>
    <row r="15">
      <c r="A15" s="3" t="n"/>
      <c r="B15" s="3" t="n"/>
      <c r="C15" s="3" t="n"/>
      <c r="D15" s="3" t="n"/>
      <c r="E15" s="5" t="n"/>
      <c r="F15" s="5" t="n"/>
      <c r="G15" s="3" t="n"/>
    </row>
    <row r="16">
      <c r="A16" s="3" t="n"/>
      <c r="B16" s="3" t="n"/>
      <c r="C16" s="3" t="n"/>
      <c r="D16" s="3" t="n"/>
      <c r="E16" s="5" t="n"/>
      <c r="F16" s="5" t="n"/>
      <c r="G16" s="3" t="n"/>
    </row>
    <row r="17">
      <c r="A17" s="3" t="n"/>
      <c r="B17" s="3" t="n"/>
      <c r="C17" s="3" t="n"/>
      <c r="D17" s="3" t="n"/>
      <c r="E17" s="5" t="n"/>
      <c r="F17" s="5" t="n"/>
      <c r="G17" s="3" t="n"/>
    </row>
    <row r="18">
      <c r="A18" s="3" t="n"/>
      <c r="B18" s="3" t="n"/>
      <c r="C18" s="3" t="n"/>
      <c r="D18" s="3" t="n"/>
      <c r="E18" s="5" t="n"/>
      <c r="F18" s="5" t="n"/>
      <c r="G18" s="3" t="n"/>
    </row>
    <row r="19">
      <c r="A19" s="3" t="n"/>
      <c r="B19" s="3" t="n"/>
      <c r="C19" s="3" t="n"/>
      <c r="D19" s="3" t="n"/>
      <c r="E19" s="5" t="n"/>
      <c r="F19" s="5" t="n"/>
      <c r="G19" s="3" t="n"/>
    </row>
    <row r="20">
      <c r="A20" s="3" t="n"/>
      <c r="B20" s="3" t="n"/>
      <c r="C20" s="3" t="n"/>
      <c r="D20" s="3" t="n"/>
      <c r="E20" s="5" t="n"/>
      <c r="F20" s="5" t="n"/>
      <c r="G20" s="3" t="n"/>
    </row>
    <row r="21">
      <c r="A21" s="3" t="n"/>
      <c r="B21" s="3" t="n"/>
      <c r="C21" s="3" t="n"/>
      <c r="D21" s="3" t="n"/>
      <c r="E21" s="5" t="n"/>
      <c r="F21" s="5" t="n"/>
      <c r="G21" s="3" t="n"/>
    </row>
    <row r="22">
      <c r="A22" s="3" t="n"/>
      <c r="B22" s="3" t="n"/>
      <c r="C22" s="3" t="n"/>
      <c r="D22" s="3" t="n"/>
      <c r="E22" s="5" t="n"/>
      <c r="F22" s="5" t="n"/>
      <c r="G22" s="3" t="n"/>
    </row>
    <row r="23">
      <c r="A23" s="3" t="n"/>
      <c r="B23" s="3" t="n"/>
      <c r="C23" s="3" t="n"/>
      <c r="D23" s="3" t="n"/>
      <c r="E23" s="5" t="n"/>
      <c r="F23" s="5" t="n"/>
      <c r="G23" s="3" t="n"/>
    </row>
    <row r="24">
      <c r="A24" s="3" t="n"/>
      <c r="B24" s="3" t="n"/>
      <c r="C24" s="3" t="n"/>
      <c r="D24" s="3" t="n"/>
      <c r="E24" s="5" t="n"/>
      <c r="F24" s="5" t="n"/>
      <c r="G24" s="3" t="n"/>
    </row>
    <row r="25">
      <c r="A25" s="3" t="n"/>
      <c r="B25" s="3" t="n"/>
      <c r="C25" s="3" t="n"/>
      <c r="D25" s="3" t="n"/>
      <c r="E25" s="5" t="n"/>
      <c r="F25" s="5" t="n"/>
      <c r="G25" s="3" t="n"/>
    </row>
    <row r="26">
      <c r="A26" s="3" t="n"/>
      <c r="B26" s="3" t="n"/>
      <c r="C26" s="3" t="n"/>
      <c r="D26" s="3" t="n"/>
      <c r="E26" s="5" t="n"/>
      <c r="F26" s="5" t="n"/>
      <c r="G26" s="3" t="n"/>
    </row>
    <row r="27">
      <c r="A27" s="3" t="n"/>
      <c r="B27" s="3" t="n"/>
      <c r="C27" s="3" t="n"/>
      <c r="D27" s="3" t="n"/>
      <c r="E27" s="5" t="n"/>
      <c r="F27" s="5" t="n"/>
      <c r="G27" s="3" t="n"/>
    </row>
    <row r="28">
      <c r="A28" s="3" t="n"/>
      <c r="B28" s="3" t="n"/>
      <c r="C28" s="3" t="n"/>
      <c r="D28" s="3" t="n"/>
      <c r="E28" s="5" t="n"/>
      <c r="F28" s="5" t="n"/>
      <c r="G28" s="3" t="n"/>
    </row>
    <row r="29">
      <c r="A29" s="3" t="n"/>
      <c r="B29" s="3" t="n"/>
      <c r="C29" s="3" t="n"/>
      <c r="D29" s="3" t="n"/>
      <c r="E29" s="5" t="n"/>
      <c r="F29" s="5" t="n"/>
      <c r="G29" s="3" t="n"/>
    </row>
    <row r="30">
      <c r="A30" s="3" t="n"/>
      <c r="B30" s="3" t="n"/>
      <c r="C30" s="3" t="n"/>
      <c r="D30" s="3" t="n"/>
      <c r="E30" s="5" t="n"/>
      <c r="F30" s="5" t="n"/>
      <c r="G30" s="3" t="n"/>
    </row>
    <row r="31">
      <c r="A31" s="3" t="n"/>
      <c r="B31" s="3" t="n"/>
      <c r="C31" s="3" t="n"/>
      <c r="D31" s="3" t="n"/>
      <c r="E31" s="5" t="n"/>
      <c r="F31" s="5" t="n"/>
      <c r="G31" s="3" t="n"/>
    </row>
  </sheetData>
  <dataValidations count="1">
    <dataValidation sqref="G2:G31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8" customWidth="1" min="4" max="4"/>
    <col width="14" customWidth="1" min="5" max="5"/>
    <col width="12" customWidth="1" min="6" max="6"/>
  </cols>
  <sheetData>
    <row r="1">
      <c r="A1" s="4" t="inlineStr">
        <is>
          <t>번호</t>
        </is>
      </c>
      <c r="B1" s="4" t="inlineStr">
        <is>
          <t>검산 항목</t>
        </is>
      </c>
      <c r="C1" s="4" t="inlineStr">
        <is>
          <t>왼쪽 값</t>
        </is>
      </c>
      <c r="D1" s="4" t="inlineStr">
        <is>
          <t>오른쪽 값</t>
        </is>
      </c>
      <c r="E1" s="4" t="inlineStr">
        <is>
          <t>차이</t>
        </is>
      </c>
      <c r="F1" s="4" t="inlineStr">
        <is>
          <t>결과</t>
        </is>
      </c>
    </row>
    <row r="2">
      <c r="A2" t="n">
        <v>1</v>
      </c>
      <c r="B2" t="inlineStr">
        <is>
          <t>국민 업무용 금일 잔액 = 은행 조회 잔액</t>
        </is>
      </c>
      <c r="C2" s="6">
        <f>자금일보!E6</f>
        <v/>
      </c>
      <c r="D2" s="6">
        <f>자금일보!H6</f>
        <v/>
      </c>
      <c r="E2" s="6">
        <f>C2-D2</f>
        <v/>
      </c>
      <c r="F2">
        <f>IF(COUNT(자금일보!B6:D7)=0,"미입력",IF(ABS(E2)&lt;0.5,"PASS","FAIL"))</f>
        <v/>
      </c>
    </row>
    <row r="3">
      <c r="A3" t="n">
        <v>2</v>
      </c>
      <c r="B3" t="inlineStr">
        <is>
          <t>신한 급여 금일 잔액 = 은행 조회 잔액</t>
        </is>
      </c>
      <c r="C3" s="6">
        <f>자금일보!E7</f>
        <v/>
      </c>
      <c r="D3" s="6">
        <f>자금일보!H7</f>
        <v/>
      </c>
      <c r="E3" s="6">
        <f>C3-D3</f>
        <v/>
      </c>
      <c r="F3">
        <f>IF(COUNT(자금일보!B6:D7)=0,"미입력",IF(ABS(E3)&lt;0.5,"PASS","FAIL"))</f>
        <v/>
      </c>
    </row>
    <row r="4">
      <c r="A4" t="n">
        <v>3</v>
      </c>
      <c r="B4" t="inlineStr">
        <is>
          <t>입출금 내역 입금 합계 = 자금일보 입금 합계</t>
        </is>
      </c>
      <c r="C4" s="6">
        <f>SUM('입출금 내역'!E2:E31)</f>
        <v/>
      </c>
      <c r="D4" s="6">
        <f>자금일보!C8</f>
        <v/>
      </c>
      <c r="E4" s="6">
        <f>C4-D4</f>
        <v/>
      </c>
      <c r="F4">
        <f>IF(COUNT(자금일보!B6:D7)=0,"미입력",IF(ABS(E4)&lt;0.5,"PASS","FAIL"))</f>
        <v/>
      </c>
    </row>
    <row r="5">
      <c r="A5" t="n">
        <v>4</v>
      </c>
      <c r="B5" t="inlineStr">
        <is>
          <t>입출금 내역 출금 합계 = 자금일보 출금 합계</t>
        </is>
      </c>
      <c r="C5" s="6">
        <f>SUM('입출금 내역'!F2:F31)</f>
        <v/>
      </c>
      <c r="D5" s="6">
        <f>자금일보!D8</f>
        <v/>
      </c>
      <c r="E5" s="6">
        <f>C5-D5</f>
        <v/>
      </c>
      <c r="F5">
        <f>IF(COUNT(자금일보!B6:D7)=0,"미입력",IF(ABS(E5)&lt;0.5,"PASS","FAIL"))</f>
        <v/>
      </c>
    </row>
    <row r="6">
      <c r="A6" t="n">
        <v>5</v>
      </c>
      <c r="B6" t="inlineStr">
        <is>
          <t>계좌간이체 입금 쪽 합계 = 출금 쪽 합계</t>
        </is>
      </c>
      <c r="C6" s="6">
        <f>SUMIFS('입출금 내역'!E2:E31,'입출금 내역'!G2:G31,"예")</f>
        <v/>
      </c>
      <c r="D6" s="6">
        <f>SUMIFS('입출금 내역'!F2:F31,'입출금 내역'!G2:G31,"예")</f>
        <v/>
      </c>
      <c r="E6" s="6">
        <f>C6-D6</f>
        <v/>
      </c>
      <c r="F6">
        <f>IF(COUNT(자금일보!B6:D7)=0,"미입력",IF(ABS(E6)&lt;0.5,"PASS","FAIL"))</f>
        <v/>
      </c>
    </row>
    <row r="7">
      <c r="A7" t="n">
        <v>6</v>
      </c>
      <c r="B7" t="inlineStr">
        <is>
          <t>계좌간이체 표 합계 = 입출금 내역 이체 입금 합계</t>
        </is>
      </c>
      <c r="C7" s="6">
        <f>자금일보!C15</f>
        <v/>
      </c>
      <c r="D7" s="6">
        <f>SUMIFS('입출금 내역'!E2:E31,'입출금 내역'!G2:G31,"예")</f>
        <v/>
      </c>
      <c r="E7" s="6">
        <f>C7-D7</f>
        <v/>
      </c>
      <c r="F7">
        <f>IF(COUNT(자금일보!B6:D7)=0,"미입력",IF(ABS(E7)&lt;0.5,"PASS","FAIL"))</f>
        <v/>
      </c>
    </row>
    <row r="8">
      <c r="B8" s="7" t="inlineStr">
        <is>
          <t>전체 결과</t>
        </is>
      </c>
      <c r="F8" s="7">
        <f>IF(COUNTIF(F2:F7,"PASS")=6,"PASS",IF(COUNTIF(F2:F7,"미입력")&gt;0,"미입력","FAIL"))</f>
        <v/>
      </c>
    </row>
    <row r="10">
      <c r="B10" s="2" t="inlineStr">
        <is>
          <t>PASS는 합계가 맞는다는 뜻입니다. 어느 거래를 계좌간이체로 짝지었는지는 따로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2026-10-29T03:23:51Z</dcterms:modified>
  <cp:lastModifiedBy>다온생활 재무팀</cp:lastModifiedBy>
</cp:coreProperties>
</file>