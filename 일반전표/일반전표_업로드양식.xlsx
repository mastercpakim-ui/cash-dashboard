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반전표" sheetId="1" state="visible" r:id="rId1"/>
    <sheet xmlns:r="http://schemas.openxmlformats.org/officeDocument/2006/relationships" name="검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3">
    <font>
      <name val="Calibri"/>
      <family val="2"/>
      <color theme="1"/>
      <sz val="11"/>
      <scheme val="minor"/>
    </font>
    <font>
      <b val="1"/>
    </font>
    <font>
      <color rgb="00555555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5" customWidth="1" min="4" max="4"/>
    <col width="6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  <col width="30" customWidth="1" min="11" max="11"/>
  </cols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일</t>
        </is>
      </c>
      <c r="D1" s="1" t="inlineStr">
        <is>
          <t>구분</t>
        </is>
      </c>
      <c r="E1" s="1" t="inlineStr">
        <is>
          <t>Code</t>
        </is>
      </c>
      <c r="F1" s="1" t="inlineStr">
        <is>
          <t>계정과목</t>
        </is>
      </c>
      <c r="G1" s="1" t="inlineStr">
        <is>
          <t>차변</t>
        </is>
      </c>
      <c r="H1" s="1" t="inlineStr">
        <is>
          <t>대변</t>
        </is>
      </c>
      <c r="I1" s="1" t="inlineStr">
        <is>
          <t>거래처코드</t>
        </is>
      </c>
      <c r="J1" s="1" t="inlineStr">
        <is>
          <t>거래처</t>
        </is>
      </c>
      <c r="K1" s="1" t="inlineStr">
        <is>
          <t>적요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3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3" t="n"/>
      <c r="H3" s="3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3" t="n"/>
      <c r="H4" s="3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3" t="n"/>
      <c r="H5" s="3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3" t="n"/>
      <c r="H6" s="3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3" t="n"/>
      <c r="H7" s="3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3" t="n"/>
      <c r="H8" s="3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3" t="n"/>
      <c r="H9" s="3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3" t="n"/>
      <c r="H10" s="3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3" t="n"/>
      <c r="H11" s="3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3" t="n"/>
      <c r="H12" s="3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3" t="n"/>
      <c r="H13" s="3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3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3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3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3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3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3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3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3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3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3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3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3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3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3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3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3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3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3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3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3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3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3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3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3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3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3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3" t="n"/>
      <c r="I40" s="2" t="n"/>
      <c r="J40" s="2" t="n"/>
      <c r="K4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번호</t>
        </is>
      </c>
      <c r="B1" s="1" t="inlineStr">
        <is>
          <t>검산 항목</t>
        </is>
      </c>
      <c r="C1" s="1" t="inlineStr">
        <is>
          <t>왼쪽 값</t>
        </is>
      </c>
      <c r="D1" s="1" t="inlineStr">
        <is>
          <t>오른쪽 값</t>
        </is>
      </c>
      <c r="E1" s="1" t="inlineStr">
        <is>
          <t>차이</t>
        </is>
      </c>
      <c r="F1" s="1" t="inlineStr">
        <is>
          <t>결과</t>
        </is>
      </c>
    </row>
    <row r="2">
      <c r="A2" t="n">
        <v>1</v>
      </c>
      <c r="B2" t="inlineStr">
        <is>
          <t>차변 합계 = 대변 합계</t>
        </is>
      </c>
      <c r="C2" s="4">
        <f>SUM(일반전표!G2:G200)</f>
        <v/>
      </c>
      <c r="D2" s="4">
        <f>SUM(일반전표!H2:H200)</f>
        <v/>
      </c>
      <c r="E2" s="4">
        <f>C2-D2</f>
        <v/>
      </c>
      <c r="F2">
        <f>IF(OR(COUNT(일반전표!G2:G200)=0,COUNT(C10:C11)&lt;2),"미입력",IF(ABS(E2)&lt;0.5,"PASS","FAIL"))</f>
        <v/>
      </c>
    </row>
    <row r="3">
      <c r="A3" t="n">
        <v>2</v>
      </c>
      <c r="B3" t="inlineStr">
        <is>
          <t>보통예금(103) 차변 합계 = 두 계좌 입금 합계(자금일보)</t>
        </is>
      </c>
      <c r="C3" s="4">
        <f>SUMIFS(일반전표!G2:G200,일반전표!E2:E200,103)</f>
        <v/>
      </c>
      <c r="D3" s="4">
        <f>C10</f>
        <v/>
      </c>
      <c r="E3" s="4">
        <f>C3-D3</f>
        <v/>
      </c>
      <c r="F3">
        <f>IF(OR(COUNT(일반전표!G2:G200)=0,COUNT(C10:C11)&lt;2),"미입력",IF(ABS(E3)&lt;0.5,"PASS","FAIL"))</f>
        <v/>
      </c>
    </row>
    <row r="4">
      <c r="A4" t="n">
        <v>3</v>
      </c>
      <c r="B4" t="inlineStr">
        <is>
          <t>보통예금(103) 대변 합계 = 두 계좌 출금 합계(자금일보)</t>
        </is>
      </c>
      <c r="C4" s="4">
        <f>SUMIFS(일반전표!H2:H200,일반전표!E2:E200,103)</f>
        <v/>
      </c>
      <c r="D4" s="4">
        <f>C11</f>
        <v/>
      </c>
      <c r="E4" s="4">
        <f>C4-D4</f>
        <v/>
      </c>
      <c r="F4">
        <f>IF(OR(COUNT(일반전표!G2:G200)=0,COUNT(C10:C11)&lt;2),"미입력",IF(ABS(E4)&lt;0.5,"PASS","FAIL"))</f>
        <v/>
      </c>
    </row>
    <row r="5">
      <c r="B5" s="5" t="inlineStr">
        <is>
          <t>전체 결과</t>
        </is>
      </c>
      <c r="F5" s="5">
        <f>IF(COUNTIF(F2:F4,"PASS")=3,"PASS",IF(COUNTIF(F2:F4,"미입력")&gt;0,"미입력","FAIL"))</f>
        <v/>
      </c>
    </row>
    <row r="9">
      <c r="B9" s="5" t="inlineStr">
        <is>
          <t>자금일보에서 옮겨 적는 값</t>
        </is>
      </c>
    </row>
    <row r="10">
      <c r="B10" t="inlineStr">
        <is>
          <t>두 계좌 입금 합계(자금일보 입금 합계)</t>
        </is>
      </c>
      <c r="C10" s="3" t="n"/>
    </row>
    <row r="11">
      <c r="B11" t="inlineStr">
        <is>
          <t>두 계좌 출금 합계(자금일보 출금 합계)</t>
        </is>
      </c>
      <c r="C11" s="3" t="n"/>
    </row>
    <row r="13">
      <c r="B13" s="6" t="inlineStr">
        <is>
          <t>PASS는 합계가 맞는다는 뜻입니다. 계정·거래처를 맞게 골랐는지는 따로 확인합니다.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다온생활 재무팀</dc:creator>
  <dcterms:created xmlns:dcterms="http://purl.org/dc/terms/" xmlns:xsi="http://www.w3.org/2001/XMLSchema-instance" xsi:type="dcterms:W3CDTF">2026-10-29T00:12:19Z</dcterms:created>
  <dcterms:modified xmlns:dcterms="http://purl.org/dc/terms/" xmlns:xsi="http://www.w3.org/2001/XMLSchema-instance" xsi:type="dcterms:W3CDTF">2026-10-29T00:12:19Z</dcterms:modified>
  <cp:lastModifiedBy>다온생활 재무팀</cp:lastModifiedBy>
</cp:coreProperties>
</file>